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berdaoui\Desktop\Resultat Qualité -Astuplast\Systéme documentaire\Fiches d'analyse de risque\"/>
    </mc:Choice>
  </mc:AlternateContent>
  <bookViews>
    <workbookView xWindow="0" yWindow="120" windowWidth="17715" windowHeight="7485" firstSheet="3" activeTab="4"/>
  </bookViews>
  <sheets>
    <sheet name="Fiche d'analyse de Risque 18" sheetId="2" r:id="rId1"/>
    <sheet name="Fiche d'analyse de  Risque  19" sheetId="3" r:id="rId2"/>
    <sheet name="Fiche d'analyse de Risque 20" sheetId="5" r:id="rId3"/>
    <sheet name="Fiche d'analyse de Risque 21" sheetId="6" r:id="rId4"/>
    <sheet name="Fiche d'analyse de Risque 2022" sheetId="7" r:id="rId5"/>
    <sheet name="Fiche d'analyse de Risque 2023" sheetId="8" r:id="rId6"/>
  </sheets>
  <calcPr calcId="152511"/>
</workbook>
</file>

<file path=xl/calcChain.xml><?xml version="1.0" encoding="utf-8"?>
<calcChain xmlns="http://schemas.openxmlformats.org/spreadsheetml/2006/main">
  <c r="M7" i="8" l="1"/>
  <c r="M8" i="8"/>
  <c r="M6" i="8"/>
  <c r="M7" i="6" l="1"/>
  <c r="M6" i="6"/>
  <c r="M8" i="5"/>
  <c r="M7" i="5"/>
  <c r="I7" i="3"/>
  <c r="I6" i="3"/>
  <c r="I10" i="2"/>
  <c r="I11" i="2"/>
  <c r="I9" i="2"/>
  <c r="I8" i="2"/>
  <c r="I7" i="2"/>
  <c r="I6" i="2"/>
</calcChain>
</file>

<file path=xl/sharedStrings.xml><?xml version="1.0" encoding="utf-8"?>
<sst xmlns="http://schemas.openxmlformats.org/spreadsheetml/2006/main" count="524" uniqueCount="230">
  <si>
    <t>Risques</t>
  </si>
  <si>
    <t xml:space="preserve">Bref descriptif de l'action </t>
  </si>
  <si>
    <t>Responsable</t>
  </si>
  <si>
    <t>G</t>
  </si>
  <si>
    <t>O</t>
  </si>
  <si>
    <t>D</t>
  </si>
  <si>
    <t>IPR</t>
  </si>
  <si>
    <t>EFFICACITE D'ACTION</t>
  </si>
  <si>
    <t>Actions à mettre en œuvre (voir détails au PAP)</t>
  </si>
  <si>
    <t xml:space="preserve">Evaluation de l'action </t>
  </si>
  <si>
    <t xml:space="preserve">Evaluation de Risque </t>
  </si>
  <si>
    <t>Non</t>
  </si>
  <si>
    <t>le choix du nouvel personnel a été fait sans l'acceptation du responsable hiérarchique</t>
  </si>
  <si>
    <t>Le personnel ne répond pas au profil demandé</t>
  </si>
  <si>
    <t>Formation n'est pas validé</t>
  </si>
  <si>
    <t>Formation non Efficace</t>
  </si>
  <si>
    <t>Les notes attribuées aux opérateurs ne reflètent pas à la réalité</t>
  </si>
  <si>
    <t xml:space="preserve"> Analyse des OPPORTUNITES : </t>
  </si>
  <si>
    <t>Brève description de l'action</t>
  </si>
  <si>
    <t>OUI</t>
  </si>
  <si>
    <t>NON</t>
  </si>
  <si>
    <t>Le recrutement n'était pas bien Etudier</t>
  </si>
  <si>
    <t xml:space="preserve">Absence de suivi par le pilote processus </t>
  </si>
  <si>
    <t xml:space="preserve">Impact de Risque </t>
  </si>
  <si>
    <t xml:space="preserve">Impact des Opportunités </t>
  </si>
  <si>
    <t>Oui</t>
  </si>
  <si>
    <t>Causes probables 5M - Main d'œuvre - Moyens - Milieu - Matière - Méthodes</t>
  </si>
  <si>
    <t>Perturbation  au niveau de production</t>
  </si>
  <si>
    <t>absence d'amélioration</t>
  </si>
  <si>
    <t>Perte de savoir faire et de connaissance</t>
  </si>
  <si>
    <t>Responsable de chaque secteur/Directeur</t>
  </si>
  <si>
    <t>satisfaction du besoin en personnel</t>
  </si>
  <si>
    <t xml:space="preserve">Pas de critère  de suivi </t>
  </si>
  <si>
    <t xml:space="preserve">Améliorer la compétence  et la connaissance des personnels </t>
  </si>
  <si>
    <t>Critères d'évaluation de l'efficacité des actions</t>
  </si>
  <si>
    <t xml:space="preserve">Perturbation de la relation  entre  les collaborateurs </t>
  </si>
  <si>
    <t>Mettre en place une fiche qui clarifier la démarche de validation " Demande de besoin en personnel</t>
  </si>
  <si>
    <t xml:space="preserve">Revoir la fiche d'entretien et bien étudier le recrutement </t>
  </si>
  <si>
    <t>Assurer un bon suivi de validation des formations réalisés</t>
  </si>
  <si>
    <t>le thème de formation  n'est  pas bien définie</t>
  </si>
  <si>
    <t>Fixer l'objectif de chaque formation et mettre une inadéquation de programme de formation choisie,</t>
  </si>
  <si>
    <t xml:space="preserve">Groupe APSYS Industries                                                                                                                                           Division :  ASTUPLAST         </t>
  </si>
  <si>
    <t>Date de Clôture</t>
  </si>
  <si>
    <t>Visa</t>
  </si>
  <si>
    <t>Origine De L'action</t>
  </si>
  <si>
    <t>Fiche Processus</t>
  </si>
  <si>
    <t xml:space="preserve">Activité 1: Vérification et validation de la pertinence du besoin </t>
  </si>
  <si>
    <t>Activité 2: Recrutement/Intégration</t>
  </si>
  <si>
    <t xml:space="preserve">Activité3: Formation </t>
  </si>
  <si>
    <t>Activité 4: ENTRETIEN / EVALUATION</t>
  </si>
  <si>
    <t>Perte le patrimoine de l'entreprise   de savoir faire  et de connaissance</t>
  </si>
  <si>
    <t xml:space="preserve"> Pas d'étude profond sur le demarche de  formation en interne  </t>
  </si>
  <si>
    <t xml:space="preserve">Perturbation la pérennité l'entreprise </t>
  </si>
  <si>
    <t>Resp.administrative</t>
  </si>
  <si>
    <t>Resp. Administrative /  Resp. Qualité</t>
  </si>
  <si>
    <t>Resp.Administrative   /Resp.Qualité</t>
  </si>
  <si>
    <t xml:space="preserve">Resp. Administrative  </t>
  </si>
  <si>
    <t>*Conflit entre  les opérateurs           * mécontentement                      *Risque de conflit envers la direction et l'administration</t>
  </si>
  <si>
    <t xml:space="preserve">Sauvegarde tous les documents  des formations Réaliser ( In/ext) </t>
  </si>
  <si>
    <t>Garantir la pérennité de la société</t>
  </si>
  <si>
    <t>Resp.Administrative  /Pilote Processus</t>
  </si>
  <si>
    <t xml:space="preserve">Revoir le MAJ de  la matrice de  compétenence et polyvalance de chaque processus  </t>
  </si>
  <si>
    <t xml:space="preserve">
</t>
  </si>
  <si>
    <t>Recrutement en interne</t>
  </si>
  <si>
    <t>Motivation de personnel</t>
  </si>
  <si>
    <t xml:space="preserve">Etude  de  besoin en personnel en  interne </t>
  </si>
  <si>
    <t>_ Le Choix du personnel est bien étudier                      - Satisfaction  des Responsables de Chaque Secteur</t>
  </si>
  <si>
    <t>Respecter la  durée de validation de formation</t>
  </si>
  <si>
    <t>Les formations réalisées répondent aux objectifs fixés,</t>
  </si>
  <si>
    <t>_ Existance et Disponibilité de Document  de chaque formation réalisé</t>
  </si>
  <si>
    <t>_ Pas de conflit  entre les personels en interne " Ambiance de travail est satisfait"</t>
  </si>
  <si>
    <t>Retenu</t>
  </si>
  <si>
    <t>X</t>
  </si>
  <si>
    <t>Pilote Processus</t>
  </si>
  <si>
    <t xml:space="preserve">_ Planning de  Formation  en interne  est  bien enrichi  </t>
  </si>
  <si>
    <t>_ Changement   au niveau  de  L'organigrame de l'entreprise</t>
  </si>
  <si>
    <t>x</t>
  </si>
  <si>
    <t>SB</t>
  </si>
  <si>
    <t>Imprimée n°                                                                                                                                                                                                                      AST PRQ 01.17-01 B</t>
  </si>
  <si>
    <t xml:space="preserve"> Processus : Management des Ressources Humaines                                                                                                                                                                                                                                                                   Pilote Processus : Fethia Chouadhi</t>
  </si>
  <si>
    <t xml:space="preserve">Fiche processus </t>
  </si>
  <si>
    <t>Clarifier un barème de calcul de note pour tous les personnels  et bien définis les critères de notification qui sera en 2019                                                                                                                                  *Faire participer les différents responsables à la notation</t>
  </si>
  <si>
    <t>Reporté  en 2019</t>
  </si>
  <si>
    <t>Reporté en 2019</t>
  </si>
  <si>
    <t xml:space="preserve">Revue  processus </t>
  </si>
  <si>
    <t xml:space="preserve">  taux  d'absentisme  est trop éléver </t>
  </si>
  <si>
    <t xml:space="preserve">*Perturbation production </t>
  </si>
  <si>
    <t xml:space="preserve">Methode d'analyse  est insuffisant </t>
  </si>
  <si>
    <t xml:space="preserve">La Présence  des Employés </t>
  </si>
  <si>
    <t xml:space="preserve">Responsable Administrative </t>
  </si>
  <si>
    <t>Clarifier un barème de calcul de note pour tous les personnels  et bien définis les critères de notification qui sera en 2019                                      *Faire participer les différents responsables à la notation</t>
  </si>
  <si>
    <t>Mettre en place des reunions de sensibilisation et motiver les personnels</t>
  </si>
  <si>
    <t>Pas de perturbation de production</t>
  </si>
  <si>
    <t>Bonne Relation avec les cabinets de formations</t>
  </si>
  <si>
    <t xml:space="preserve">Assurer  la périnnité de la bonne comminication </t>
  </si>
  <si>
    <t>Responsable Administrative</t>
  </si>
  <si>
    <t>Reporté en 2020</t>
  </si>
  <si>
    <r>
      <t xml:space="preserve">Groupe APSYS Industries                                                                     </t>
    </r>
    <r>
      <rPr>
        <b/>
        <i/>
        <sz val="10"/>
        <rFont val="Arial"/>
        <family val="2"/>
      </rPr>
      <t xml:space="preserve">Division :  ASTUPLAST </t>
    </r>
    <r>
      <rPr>
        <b/>
        <i/>
        <sz val="11"/>
        <rFont val="Arial"/>
        <family val="2"/>
      </rPr>
      <t xml:space="preserve">        </t>
    </r>
  </si>
  <si>
    <t>Imprimée n° AST                                                     PRQ 01.17-01 C</t>
  </si>
  <si>
    <t>Origine de L'action</t>
  </si>
  <si>
    <t>Gravité " G"</t>
  </si>
  <si>
    <t>Occurrence (Fréquence , Probabilité  d'apparition  de la défaillance )    "O"</t>
  </si>
  <si>
    <t xml:space="preserve">Actions Existantes </t>
  </si>
  <si>
    <t>Détectabilité "D"</t>
  </si>
  <si>
    <t>Evaluation du Risque</t>
  </si>
  <si>
    <t>Critéres d'Evaluation de l'éfficacité des actions</t>
  </si>
  <si>
    <t xml:space="preserve">Interne </t>
  </si>
  <si>
    <t xml:space="preserve">Externe </t>
  </si>
  <si>
    <t xml:space="preserve">Occurrence </t>
  </si>
  <si>
    <t>Détections</t>
  </si>
  <si>
    <t>Date de Clotûre</t>
  </si>
  <si>
    <t xml:space="preserve">Responsable </t>
  </si>
  <si>
    <t xml:space="preserve"> Processus : </t>
  </si>
  <si>
    <t xml:space="preserve">Management des Ressources Humaines </t>
  </si>
  <si>
    <t>Pilote Processus : Fethia Chouadhi</t>
  </si>
  <si>
    <t xml:space="preserve">La gestion  de temps  des employés  </t>
  </si>
  <si>
    <t xml:space="preserve">L'augmentation  du  taux  d'absentéisme </t>
  </si>
  <si>
    <t xml:space="preserve">La base des Données </t>
  </si>
  <si>
    <t xml:space="preserve">Avoir un virus  informatique qui  engendre  une perte  des  données  </t>
  </si>
  <si>
    <t xml:space="preserve">Perturbation  de production </t>
  </si>
  <si>
    <t xml:space="preserve">Retard commande  client </t>
  </si>
  <si>
    <t>Le taux  d'absentéisme  est  relié  par  d'autres  raisons autre  que professionnel</t>
  </si>
  <si>
    <t xml:space="preserve">Sensibilisation  Orale  des personels </t>
  </si>
  <si>
    <t xml:space="preserve">Contrôle journalier  du pointeuse </t>
  </si>
  <si>
    <t xml:space="preserve">Accentuer  sur la  sensibilisation  des  personnels , fixer  des régles   et des sanctions en cas de non respect pour les absences répétitive et non justifié s'assurer  que  le  le climat  social soit bon et  parraine  </t>
  </si>
  <si>
    <t xml:space="preserve">Responsable  Administrative </t>
  </si>
  <si>
    <t xml:space="preserve">Pas de perturbation de production et Pas de manque de personels </t>
  </si>
  <si>
    <t xml:space="preserve">Perdre du temps  /perdre  des  fichiers  informatique </t>
  </si>
  <si>
    <t>Les données ne sont  pas  enrigistré sur le  serveur</t>
  </si>
  <si>
    <t>Enregistrer les données systématique sur le bureau</t>
  </si>
  <si>
    <t xml:space="preserve">Pressence d'un anti-virus </t>
  </si>
  <si>
    <t xml:space="preserve">Pas de perte des données /pas de perte du temps  et satisfaction  client interne </t>
  </si>
  <si>
    <t>* Taux d'avancement de plan de formation dans le bon délais             * Satisfaction personnel</t>
  </si>
  <si>
    <t xml:space="preserve">Confiance Client </t>
  </si>
  <si>
    <t>Fiche d'analyse du Risque et Opportunité  Processus                                                                         Année :2018</t>
  </si>
  <si>
    <t>Date  de Surveillance  : 05/06/2020</t>
  </si>
  <si>
    <t>Fiche d'analyse du Risque et Opportunité  Processus                                                                                                     Année : 2019</t>
  </si>
  <si>
    <t xml:space="preserve">Fiche d'analyse du Risque et Opportunité  Processus                                                                                                                            Année :2020       </t>
  </si>
  <si>
    <t>Causes probables 5M</t>
  </si>
  <si>
    <t>Enrigistrement  tous les fichiers utiles sur le public-privé</t>
  </si>
  <si>
    <t xml:space="preserve">Respect  le délais pour la formation==&gt; Taux d'avancement de realisation des formations </t>
  </si>
  <si>
    <t>Date  de surveillance  : 07/12/2020</t>
  </si>
  <si>
    <t>Reporté en 2021</t>
  </si>
  <si>
    <t xml:space="preserve">Groupe APSYS Industries                                                                                                                       Division :  ASTUPLAST         </t>
  </si>
  <si>
    <t xml:space="preserve">Fiche d'analyse du Risque et Opportunité  Processus </t>
  </si>
  <si>
    <t>Imprimé n° :                                   AST PRQ 01.17-01 C</t>
  </si>
  <si>
    <t xml:space="preserve">Processus : Management des RH </t>
  </si>
  <si>
    <t>Pilote Processus : FATHIA CHOUADHI</t>
  </si>
  <si>
    <t>Evaluation de L'action</t>
  </si>
  <si>
    <t xml:space="preserve">Origine de L'action: </t>
  </si>
  <si>
    <t>Impact des Risques</t>
  </si>
  <si>
    <t>Gravité                                       "G"</t>
  </si>
  <si>
    <t xml:space="preserve"> Causes probables 5M - Main d'œuvre - Moyens - Milieu - Matière - Méthodes</t>
  </si>
  <si>
    <t xml:space="preserve"> Détectabilité                "D"</t>
  </si>
  <si>
    <t>Evaluation de Risque</t>
  </si>
  <si>
    <t>Critères d'Evaluation de l'efficacité des actions</t>
  </si>
  <si>
    <t xml:space="preserve">Détection </t>
  </si>
  <si>
    <t>Date de  Clôture</t>
  </si>
  <si>
    <t>Epidémie COVID-19</t>
  </si>
  <si>
    <t>Retard des commandes</t>
  </si>
  <si>
    <t xml:space="preserve">cas mondial </t>
  </si>
  <si>
    <t>Avoir un virus informatique qui engendre une perte des données</t>
  </si>
  <si>
    <t>les données ne sont pas enregistré sur le serveur</t>
  </si>
  <si>
    <t xml:space="preserve">Enregistrer à chaque fois après chaque accès </t>
  </si>
  <si>
    <t>enregistrer tous les fichiers utiles sur le serveur</t>
  </si>
  <si>
    <t>pas de perte des données/pas perte du temps</t>
  </si>
  <si>
    <t xml:space="preserve"> Externe </t>
  </si>
  <si>
    <t xml:space="preserve">Visa </t>
  </si>
  <si>
    <t>S.Berdaoui</t>
  </si>
  <si>
    <t>Perturbation de production</t>
  </si>
  <si>
    <t>Perdre du temps/perdre des fichiers informatique</t>
  </si>
  <si>
    <t xml:space="preserve">Alerte informatique </t>
  </si>
  <si>
    <t>Absence  des cas impactés  par  COVID-19</t>
  </si>
  <si>
    <t>La base des données</t>
  </si>
  <si>
    <t xml:space="preserve">Audit  interne  </t>
  </si>
  <si>
    <t>RAS</t>
  </si>
  <si>
    <t>Revu direction</t>
  </si>
  <si>
    <t xml:space="preserve">Suivi l'Evaluation  Formation </t>
  </si>
  <si>
    <t>Date de surveillance: 27/10/2021</t>
  </si>
  <si>
    <t>Mauvais choix du formateur</t>
  </si>
  <si>
    <t>Mauvaise évaluation des formateurs</t>
  </si>
  <si>
    <t>Performance</t>
  </si>
  <si>
    <t>Mauvaise évaluation et sélection des cabinets de formation</t>
  </si>
  <si>
    <t>Mettre en place des critères d'évaluation des formateurs</t>
  </si>
  <si>
    <t>Non Satisfaction Client</t>
  </si>
  <si>
    <t>CV-Formateur</t>
  </si>
  <si>
    <t>les objectifs des formations à atteindre ne sont pas bien définis</t>
  </si>
  <si>
    <t>Formation interne/externe</t>
  </si>
  <si>
    <t>L'atteinte des objectifs des formations planifiées</t>
  </si>
  <si>
    <t>Ajouter des autres  Formations</t>
  </si>
  <si>
    <t xml:space="preserve">Affecter plus des stagiaires </t>
  </si>
  <si>
    <t>Occurrence ( fréquence , probabilité d'apparition  de défaillance ) "O"</t>
  </si>
  <si>
    <t>*Possibilité de confinement Total                        *Pert des fonctions Clé                         *Perturbation du production</t>
  </si>
  <si>
    <t>Thermomètre infrarouge "Mesure température "</t>
  </si>
  <si>
    <t>La compétence</t>
  </si>
  <si>
    <t>la définition et la   validation d'objectif mal sélectionnée</t>
  </si>
  <si>
    <t xml:space="preserve">Réunion de  coordination </t>
  </si>
  <si>
    <t xml:space="preserve">Mettre en place un réunion entre les pilotes processus pour bien définir les objectifs  nécessaire et qui répondent à la stratégie  de  l'entreprise </t>
  </si>
  <si>
    <t xml:space="preserve">réunion interne </t>
  </si>
  <si>
    <t xml:space="preserve">Resp. Administrative </t>
  </si>
  <si>
    <t xml:space="preserve">formation non pertinente 
perte du temps 
perte d'argent </t>
  </si>
  <si>
    <t xml:space="preserve">manque d'autres critères pour faire L'évaluation </t>
  </si>
  <si>
    <t>fiche de la vérification de    l'efficacité de la Formation</t>
  </si>
  <si>
    <t>Réévaluation les cabinets de formation  après chaque formation</t>
  </si>
  <si>
    <t xml:space="preserve"> Centre CNFCPP : Diminuer le cout des formations </t>
  </si>
  <si>
    <t>Pérennité  D'entreprise</t>
  </si>
  <si>
    <t xml:space="preserve">le taux d'avancement de realisation des formations </t>
  </si>
  <si>
    <t>Application  et  respect  de  protocole de santé  +visite  de  l'inspection</t>
  </si>
  <si>
    <t>Visite medicale</t>
  </si>
  <si>
    <t>Reporté en 2022</t>
  </si>
  <si>
    <t>Rerp.AD</t>
  </si>
  <si>
    <t>Resp.Ad</t>
  </si>
  <si>
    <t>Imprimé n° :                                                                                                                                    AST PRQ 01.17-01 C</t>
  </si>
  <si>
    <t xml:space="preserve">  Définir les objectifs nécessaires  qui repondrent à la stratégie de l'entreprise avec les  pilotes processus</t>
  </si>
  <si>
    <t xml:space="preserve">a)Formation non pertinente 
b)Perte du temps 
c)Perte d'argent, </t>
  </si>
  <si>
    <t xml:space="preserve">Manque d'autres critères pour faire L'évaluation </t>
  </si>
  <si>
    <t>La définition et la   validation d'objectif mal sélectionnée</t>
  </si>
  <si>
    <t>Fiche de la vérification de    l'efficacité de la Formation</t>
  </si>
  <si>
    <t>fiche de la vérification de l'efficacité de la Formation</t>
  </si>
  <si>
    <t>Reporté en 2023</t>
  </si>
  <si>
    <t xml:space="preserve">le taux d'avancement de réalisation des formations </t>
  </si>
  <si>
    <t xml:space="preserve">Evaluation  des cabinets de formation minimum une fois par an  </t>
  </si>
  <si>
    <t>Date de Surveillance  : 21/03/2023</t>
  </si>
  <si>
    <t xml:space="preserve">Baisse nombre  des stagiaires </t>
  </si>
  <si>
    <t>Perte des subventions du CNFCPP</t>
  </si>
  <si>
    <t>Convention faite avec un seul centre de formation</t>
  </si>
  <si>
    <t>nombre des formations validé par  le CNFCPP</t>
  </si>
  <si>
    <t>Faire Plus des Conventions avec des autres des centres  du  formation</t>
  </si>
  <si>
    <t xml:space="preserve">Baisse des Coûts du  Formation  associé  par  l'entreprise </t>
  </si>
  <si>
    <t>Date de Surveillance  : 27/12/2022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</si>
</sst>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Times New Roman"/>
      <family val="1"/>
    </font>
    <font>
      <b/>
      <sz val="11"/>
      <color theme="1"/>
      <name val="Verdana"/>
      <family val="2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Verdana"/>
      <family val="2"/>
    </font>
    <font>
      <b/>
      <u/>
      <sz val="16"/>
      <color theme="1"/>
      <name val="Verdana"/>
      <family val="2"/>
    </font>
    <font>
      <b/>
      <i/>
      <sz val="16"/>
      <color theme="1"/>
      <name val="Calibri"/>
      <family val="2"/>
      <scheme val="minor"/>
    </font>
    <font>
      <b/>
      <i/>
      <sz val="14"/>
      <name val="Arial"/>
      <family val="2"/>
    </font>
    <font>
      <b/>
      <sz val="12"/>
      <name val="Times New Roman"/>
      <family val="1"/>
    </font>
    <font>
      <sz val="22"/>
      <color theme="1"/>
      <name val="Calibri"/>
      <family val="2"/>
      <scheme val="minor"/>
    </font>
    <font>
      <sz val="14"/>
      <color theme="1"/>
      <name val="Verdana"/>
      <family val="2"/>
    </font>
    <font>
      <sz val="14"/>
      <color rgb="FFFF0000"/>
      <name val="Times New Roman"/>
      <family val="1"/>
    </font>
    <font>
      <sz val="18"/>
      <color theme="1"/>
      <name val="Calibri"/>
      <family val="2"/>
      <scheme val="minor"/>
    </font>
    <font>
      <sz val="16"/>
      <color theme="1"/>
      <name val="Verdana"/>
      <family val="2"/>
    </font>
    <font>
      <sz val="18"/>
      <name val="Times New Roman"/>
      <family val="1"/>
    </font>
    <font>
      <b/>
      <sz val="28"/>
      <name val="Times New Roman"/>
      <family val="1"/>
    </font>
    <font>
      <sz val="12"/>
      <color theme="1"/>
      <name val="Verdana"/>
      <family val="2"/>
    </font>
    <font>
      <b/>
      <i/>
      <sz val="11"/>
      <name val="Arial"/>
      <family val="2"/>
    </font>
    <font>
      <b/>
      <i/>
      <sz val="10"/>
      <name val="Arial"/>
      <family val="2"/>
    </font>
    <font>
      <b/>
      <sz val="24"/>
      <name val="Arial Black"/>
      <family val="2"/>
    </font>
    <font>
      <b/>
      <i/>
      <sz val="16"/>
      <name val="Arial"/>
      <family val="2"/>
    </font>
    <font>
      <b/>
      <i/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b/>
      <sz val="10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name val="Times New Roman"/>
      <family val="1"/>
    </font>
    <font>
      <sz val="11"/>
      <color rgb="FF000000"/>
      <name val="Calibri"/>
      <family val="2"/>
      <scheme val="minor"/>
    </font>
    <font>
      <b/>
      <i/>
      <sz val="12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name val="Times New Roman"/>
      <family val="1"/>
    </font>
    <font>
      <sz val="18"/>
      <color rgb="FF000000"/>
      <name val="Calibri"/>
      <family val="2"/>
      <scheme val="minor"/>
    </font>
    <font>
      <sz val="16"/>
      <color rgb="FF000000"/>
      <name val="Times New Roman"/>
      <family val="1"/>
    </font>
    <font>
      <sz val="24"/>
      <name val="Times New Roman"/>
      <family val="1"/>
    </font>
    <font>
      <b/>
      <sz val="24"/>
      <name val="Times New Roman"/>
      <family val="1"/>
    </font>
    <font>
      <b/>
      <sz val="48"/>
      <name val="Times New Roman"/>
      <family val="1"/>
    </font>
    <font>
      <sz val="18"/>
      <color rgb="FF000000"/>
      <name val="Times New Roman"/>
      <family val="1"/>
    </font>
    <font>
      <b/>
      <sz val="16"/>
      <name val="Times New Roman"/>
      <family val="1"/>
    </font>
    <font>
      <b/>
      <sz val="18"/>
      <name val="Times New Roman"/>
      <family val="1"/>
    </font>
    <font>
      <b/>
      <sz val="18"/>
      <color rgb="FF000000"/>
      <name val="Verdana"/>
      <family val="2"/>
    </font>
    <font>
      <sz val="20"/>
      <color rgb="FF000000"/>
      <name val="Times New Roman"/>
      <family val="1"/>
    </font>
    <font>
      <sz val="22"/>
      <color rgb="FF000000"/>
      <name val="Times New Roman"/>
      <family val="1"/>
    </font>
    <font>
      <sz val="16"/>
      <color rgb="FF000000"/>
      <name val="Verdana"/>
      <family val="2"/>
    </font>
    <font>
      <sz val="16"/>
      <color rgb="FF000000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rgb="FF000000"/>
      <name val="Verdana"/>
      <family val="2"/>
    </font>
    <font>
      <b/>
      <sz val="36"/>
      <name val="Times New Roman"/>
      <family val="1"/>
    </font>
    <font>
      <b/>
      <sz val="14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41"/>
        <bgColor indexed="1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FF"/>
        <bgColor rgb="FF00FFFF"/>
      </patternFill>
    </fill>
    <fill>
      <patternFill patternType="solid">
        <fgColor rgb="FFFFFFFF"/>
        <bgColor rgb="FF000000"/>
      </patternFill>
    </fill>
    <fill>
      <patternFill patternType="solid">
        <fgColor rgb="FFD8D8D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49" fontId="1" fillId="0" borderId="0" xfId="0" applyNumberFormat="1" applyFont="1" applyBorder="1" applyAlignment="1">
      <alignment textRotation="90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4" borderId="9" xfId="0" applyFont="1" applyFill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0" fillId="0" borderId="4" xfId="0" applyFont="1" applyBorder="1" applyAlignment="1"/>
    <xf numFmtId="0" fontId="0" fillId="0" borderId="0" xfId="0" applyFont="1" applyBorder="1" applyAlignment="1"/>
    <xf numFmtId="0" fontId="0" fillId="0" borderId="0" xfId="0" applyFont="1" applyBorder="1" applyAlignment="1">
      <alignment wrapText="1"/>
    </xf>
    <xf numFmtId="0" fontId="4" fillId="4" borderId="3" xfId="0" applyFont="1" applyFill="1" applyBorder="1" applyAlignment="1" applyProtection="1">
      <alignment vertical="center" wrapText="1"/>
      <protection locked="0"/>
    </xf>
    <xf numFmtId="0" fontId="4" fillId="4" borderId="1" xfId="0" applyFont="1" applyFill="1" applyBorder="1" applyAlignment="1" applyProtection="1">
      <alignment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11" fillId="2" borderId="5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0" borderId="6" xfId="0" applyFont="1" applyBorder="1" applyAlignment="1">
      <alignment horizontal="center" vertical="top" wrapText="1"/>
    </xf>
    <xf numFmtId="0" fontId="8" fillId="4" borderId="1" xfId="0" applyFont="1" applyFill="1" applyBorder="1" applyAlignment="1">
      <alignment vertical="top" wrapText="1"/>
    </xf>
    <xf numFmtId="0" fontId="15" fillId="4" borderId="9" xfId="0" applyFont="1" applyFill="1" applyBorder="1" applyAlignment="1" applyProtection="1">
      <alignment horizontal="left" vertical="top" wrapText="1"/>
      <protection locked="0"/>
    </xf>
    <xf numFmtId="0" fontId="15" fillId="4" borderId="12" xfId="0" applyFont="1" applyFill="1" applyBorder="1" applyAlignment="1" applyProtection="1">
      <alignment horizontal="left" vertical="center" wrapText="1"/>
      <protection locked="0"/>
    </xf>
    <xf numFmtId="0" fontId="12" fillId="3" borderId="1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vertical="top"/>
    </xf>
    <xf numFmtId="14" fontId="17" fillId="4" borderId="1" xfId="0" applyNumberFormat="1" applyFont="1" applyFill="1" applyBorder="1" applyAlignment="1">
      <alignment vertical="top" wrapText="1"/>
    </xf>
    <xf numFmtId="0" fontId="17" fillId="4" borderId="1" xfId="0" applyFont="1" applyFill="1" applyBorder="1" applyAlignment="1">
      <alignment vertical="top" wrapText="1"/>
    </xf>
    <xf numFmtId="14" fontId="16" fillId="0" borderId="1" xfId="0" applyNumberFormat="1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/>
    </xf>
    <xf numFmtId="0" fontId="7" fillId="0" borderId="3" xfId="0" applyFont="1" applyBorder="1" applyAlignment="1">
      <alignment horizontal="center" vertical="center" textRotation="90"/>
    </xf>
    <xf numFmtId="14" fontId="8" fillId="4" borderId="1" xfId="0" applyNumberFormat="1" applyFont="1" applyFill="1" applyBorder="1" applyAlignment="1">
      <alignment vertical="top" wrapText="1"/>
    </xf>
    <xf numFmtId="14" fontId="3" fillId="0" borderId="1" xfId="0" applyNumberFormat="1" applyFont="1" applyBorder="1" applyAlignment="1">
      <alignment vertical="center"/>
    </xf>
    <xf numFmtId="0" fontId="12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25" fillId="0" borderId="7" xfId="0" applyFont="1" applyBorder="1" applyAlignment="1">
      <alignment vertical="top"/>
    </xf>
    <xf numFmtId="0" fontId="0" fillId="0" borderId="0" xfId="0" applyBorder="1" applyAlignment="1">
      <alignment vertical="top"/>
    </xf>
    <xf numFmtId="49" fontId="1" fillId="0" borderId="0" xfId="0" applyNumberFormat="1" applyFont="1" applyBorder="1" applyAlignment="1">
      <alignment vertical="top" textRotation="90" wrapText="1"/>
    </xf>
    <xf numFmtId="0" fontId="0" fillId="0" borderId="0" xfId="0" applyBorder="1" applyAlignment="1">
      <alignment vertical="top" wrapText="1"/>
    </xf>
    <xf numFmtId="0" fontId="26" fillId="4" borderId="0" xfId="0" applyFont="1" applyFill="1" applyBorder="1" applyAlignment="1">
      <alignment horizontal="left" vertical="top"/>
    </xf>
    <xf numFmtId="0" fontId="27" fillId="3" borderId="2" xfId="0" applyFont="1" applyFill="1" applyBorder="1" applyAlignment="1">
      <alignment horizontal="center" vertical="top" wrapText="1"/>
    </xf>
    <xf numFmtId="0" fontId="27" fillId="3" borderId="3" xfId="0" applyFont="1" applyFill="1" applyBorder="1" applyAlignment="1">
      <alignment horizontal="center" vertical="top" wrapText="1"/>
    </xf>
    <xf numFmtId="0" fontId="27" fillId="3" borderId="3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horizontal="center" vertical="top" wrapText="1"/>
    </xf>
    <xf numFmtId="0" fontId="31" fillId="0" borderId="1" xfId="0" applyFont="1" applyBorder="1" applyAlignment="1">
      <alignment horizontal="left" vertical="top" wrapText="1"/>
    </xf>
    <xf numFmtId="0" fontId="29" fillId="0" borderId="5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center" vertical="top" wrapText="1"/>
    </xf>
    <xf numFmtId="0" fontId="30" fillId="4" borderId="1" xfId="0" applyFont="1" applyFill="1" applyBorder="1" applyAlignment="1">
      <alignment horizontal="center" vertical="top" wrapText="1"/>
    </xf>
    <xf numFmtId="0" fontId="30" fillId="4" borderId="2" xfId="0" applyFont="1" applyFill="1" applyBorder="1" applyAlignment="1">
      <alignment horizontal="center" vertical="top" wrapText="1"/>
    </xf>
    <xf numFmtId="0" fontId="29" fillId="0" borderId="1" xfId="0" applyFont="1" applyBorder="1" applyAlignment="1">
      <alignment vertical="top" wrapText="1"/>
    </xf>
    <xf numFmtId="0" fontId="29" fillId="0" borderId="3" xfId="0" applyFont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top" wrapText="1"/>
    </xf>
    <xf numFmtId="0" fontId="34" fillId="0" borderId="1" xfId="0" applyFont="1" applyBorder="1" applyAlignment="1">
      <alignment horizontal="center" vertical="top" wrapText="1"/>
    </xf>
    <xf numFmtId="0" fontId="34" fillId="0" borderId="1" xfId="0" applyFont="1" applyBorder="1" applyAlignment="1">
      <alignment vertical="top" wrapText="1"/>
    </xf>
    <xf numFmtId="0" fontId="31" fillId="4" borderId="1" xfId="0" applyFont="1" applyFill="1" applyBorder="1" applyAlignment="1">
      <alignment vertical="top"/>
    </xf>
    <xf numFmtId="0" fontId="31" fillId="0" borderId="1" xfId="0" applyFont="1" applyBorder="1" applyAlignment="1">
      <alignment vertical="top" wrapText="1"/>
    </xf>
    <xf numFmtId="0" fontId="3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textRotation="90" wrapText="1"/>
    </xf>
    <xf numFmtId="0" fontId="36" fillId="0" borderId="1" xfId="0" applyFont="1" applyBorder="1" applyAlignment="1">
      <alignment horizontal="left" vertical="top" wrapText="1"/>
    </xf>
    <xf numFmtId="0" fontId="30" fillId="5" borderId="2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12" fillId="4" borderId="0" xfId="0" applyFont="1" applyFill="1" applyBorder="1" applyAlignment="1">
      <alignment vertical="top" wrapText="1"/>
    </xf>
    <xf numFmtId="0" fontId="38" fillId="3" borderId="1" xfId="0" applyFont="1" applyFill="1" applyBorder="1" applyAlignment="1">
      <alignment vertical="top" wrapText="1"/>
    </xf>
    <xf numFmtId="0" fontId="38" fillId="3" borderId="3" xfId="0" applyFont="1" applyFill="1" applyBorder="1" applyAlignment="1">
      <alignment horizontal="center" vertical="top" wrapText="1"/>
    </xf>
    <xf numFmtId="0" fontId="39" fillId="3" borderId="1" xfId="0" applyFont="1" applyFill="1" applyBorder="1" applyAlignment="1">
      <alignment vertical="top" wrapText="1"/>
    </xf>
    <xf numFmtId="0" fontId="12" fillId="4" borderId="0" xfId="0" applyFont="1" applyFill="1" applyBorder="1" applyAlignment="1">
      <alignment horizontal="center" vertical="top" wrapText="1"/>
    </xf>
    <xf numFmtId="0" fontId="32" fillId="0" borderId="1" xfId="0" applyFont="1" applyBorder="1" applyAlignment="1">
      <alignment vertical="top" wrapText="1"/>
    </xf>
    <xf numFmtId="0" fontId="32" fillId="0" borderId="1" xfId="0" applyFont="1" applyBorder="1" applyAlignment="1">
      <alignment horizontal="center" vertical="top" wrapText="1"/>
    </xf>
    <xf numFmtId="0" fontId="32" fillId="0" borderId="6" xfId="0" applyFont="1" applyBorder="1" applyAlignment="1">
      <alignment horizontal="center" vertical="top" wrapText="1"/>
    </xf>
    <xf numFmtId="17" fontId="32" fillId="0" borderId="1" xfId="0" applyNumberFormat="1" applyFont="1" applyBorder="1" applyAlignment="1">
      <alignment horizontal="center" vertical="top" wrapText="1"/>
    </xf>
    <xf numFmtId="0" fontId="32" fillId="4" borderId="0" xfId="0" applyFont="1" applyFill="1" applyBorder="1" applyAlignment="1">
      <alignment vertical="top" wrapText="1"/>
    </xf>
    <xf numFmtId="0" fontId="39" fillId="4" borderId="0" xfId="0" applyFont="1" applyFill="1" applyBorder="1" applyAlignment="1">
      <alignment vertical="top" wrapText="1"/>
    </xf>
    <xf numFmtId="0" fontId="29" fillId="0" borderId="5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left" vertical="top" wrapText="1"/>
    </xf>
    <xf numFmtId="0" fontId="30" fillId="4" borderId="2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 wrapText="1"/>
    </xf>
    <xf numFmtId="0" fontId="40" fillId="4" borderId="1" xfId="0" applyFont="1" applyFill="1" applyBorder="1" applyAlignment="1" applyProtection="1">
      <alignment horizontal="left" vertical="center" wrapText="1"/>
      <protection locked="0"/>
    </xf>
    <xf numFmtId="0" fontId="29" fillId="0" borderId="1" xfId="0" applyFont="1" applyBorder="1" applyAlignment="1">
      <alignment horizontal="center" vertical="center" wrapText="1"/>
    </xf>
    <xf numFmtId="14" fontId="27" fillId="4" borderId="2" xfId="0" applyNumberFormat="1" applyFont="1" applyFill="1" applyBorder="1" applyAlignment="1">
      <alignment horizontal="center" vertical="top" wrapText="1"/>
    </xf>
    <xf numFmtId="0" fontId="41" fillId="0" borderId="0" xfId="0" applyFont="1"/>
    <xf numFmtId="0" fontId="43" fillId="0" borderId="0" xfId="0" applyFont="1" applyAlignment="1">
      <alignment horizontal="left"/>
    </xf>
    <xf numFmtId="49" fontId="44" fillId="0" borderId="0" xfId="0" applyNumberFormat="1" applyFont="1" applyAlignment="1">
      <alignment textRotation="90" wrapText="1"/>
    </xf>
    <xf numFmtId="0" fontId="41" fillId="0" borderId="0" xfId="0" applyFont="1" applyAlignment="1">
      <alignment wrapText="1"/>
    </xf>
    <xf numFmtId="0" fontId="45" fillId="7" borderId="0" xfId="0" applyFont="1" applyFill="1" applyAlignment="1">
      <alignment horizontal="left" vertical="top"/>
    </xf>
    <xf numFmtId="0" fontId="46" fillId="7" borderId="0" xfId="0" applyFont="1" applyFill="1" applyAlignment="1">
      <alignment vertical="top" wrapText="1"/>
    </xf>
    <xf numFmtId="0" fontId="12" fillId="8" borderId="1" xfId="0" applyFont="1" applyFill="1" applyBorder="1" applyAlignment="1">
      <alignment horizontal="center" vertical="top" wrapText="1"/>
    </xf>
    <xf numFmtId="0" fontId="12" fillId="8" borderId="6" xfId="0" applyFont="1" applyFill="1" applyBorder="1" applyAlignment="1">
      <alignment horizontal="center" vertical="top" wrapText="1"/>
    </xf>
    <xf numFmtId="0" fontId="41" fillId="7" borderId="0" xfId="0" applyFont="1" applyFill="1"/>
    <xf numFmtId="0" fontId="41" fillId="0" borderId="0" xfId="0" applyFont="1" applyAlignment="1">
      <alignment vertical="center"/>
    </xf>
    <xf numFmtId="0" fontId="12" fillId="7" borderId="3" xfId="0" applyFont="1" applyFill="1" applyBorder="1" applyAlignment="1">
      <alignment horizontal="left" vertical="top" wrapText="1"/>
    </xf>
    <xf numFmtId="0" fontId="12" fillId="7" borderId="13" xfId="0" applyFont="1" applyFill="1" applyBorder="1" applyAlignment="1">
      <alignment horizontal="left" vertical="top" wrapText="1"/>
    </xf>
    <xf numFmtId="14" fontId="12" fillId="7" borderId="13" xfId="0" applyNumberFormat="1" applyFont="1" applyFill="1" applyBorder="1" applyAlignment="1">
      <alignment horizontal="left" vertical="top" wrapText="1"/>
    </xf>
    <xf numFmtId="14" fontId="32" fillId="0" borderId="1" xfId="0" applyNumberFormat="1" applyFont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0" fillId="10" borderId="2" xfId="0" applyFont="1" applyFill="1" applyBorder="1" applyAlignment="1">
      <alignment horizontal="center" vertical="top" wrapText="1"/>
    </xf>
    <xf numFmtId="0" fontId="53" fillId="8" borderId="1" xfId="0" applyFont="1" applyFill="1" applyBorder="1" applyAlignment="1">
      <alignment horizontal="center" vertical="top" wrapText="1"/>
    </xf>
    <xf numFmtId="0" fontId="53" fillId="8" borderId="6" xfId="0" applyFont="1" applyFill="1" applyBorder="1" applyAlignment="1">
      <alignment horizontal="center" vertical="top" wrapText="1"/>
    </xf>
    <xf numFmtId="0" fontId="53" fillId="8" borderId="13" xfId="0" applyFont="1" applyFill="1" applyBorder="1" applyAlignment="1">
      <alignment horizontal="center" vertical="top" wrapText="1"/>
    </xf>
    <xf numFmtId="0" fontId="54" fillId="8" borderId="13" xfId="0" applyFont="1" applyFill="1" applyBorder="1" applyAlignment="1">
      <alignment horizontal="center" vertical="top" wrapText="1"/>
    </xf>
    <xf numFmtId="0" fontId="54" fillId="8" borderId="6" xfId="0" applyFont="1" applyFill="1" applyBorder="1" applyAlignment="1">
      <alignment vertical="top" wrapText="1"/>
    </xf>
    <xf numFmtId="0" fontId="18" fillId="7" borderId="13" xfId="0" applyFont="1" applyFill="1" applyBorder="1" applyAlignment="1">
      <alignment horizontal="left" vertical="top" wrapText="1"/>
    </xf>
    <xf numFmtId="0" fontId="47" fillId="0" borderId="13" xfId="0" applyFont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left" vertical="top" wrapText="1"/>
    </xf>
    <xf numFmtId="0" fontId="18" fillId="9" borderId="13" xfId="0" applyFont="1" applyFill="1" applyBorder="1" applyAlignment="1">
      <alignment horizontal="left" vertical="top" wrapText="1"/>
    </xf>
    <xf numFmtId="0" fontId="52" fillId="0" borderId="13" xfId="0" applyFont="1" applyBorder="1" applyAlignment="1">
      <alignment vertical="center" wrapText="1"/>
    </xf>
    <xf numFmtId="0" fontId="52" fillId="0" borderId="13" xfId="0" applyFont="1" applyBorder="1" applyAlignment="1">
      <alignment horizontal="center" vertical="center" wrapText="1"/>
    </xf>
    <xf numFmtId="0" fontId="52" fillId="0" borderId="6" xfId="0" applyFont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0" fontId="55" fillId="7" borderId="3" xfId="0" applyFont="1" applyFill="1" applyBorder="1" applyAlignment="1">
      <alignment vertical="center" wrapText="1"/>
    </xf>
    <xf numFmtId="0" fontId="55" fillId="7" borderId="13" xfId="0" applyFont="1" applyFill="1" applyBorder="1" applyAlignment="1">
      <alignment vertical="center" wrapText="1"/>
    </xf>
    <xf numFmtId="0" fontId="47" fillId="0" borderId="13" xfId="0" applyFont="1" applyBorder="1" applyAlignment="1">
      <alignment horizontal="center" vertical="center"/>
    </xf>
    <xf numFmtId="0" fontId="53" fillId="8" borderId="13" xfId="0" applyFont="1" applyFill="1" applyBorder="1" applyAlignment="1">
      <alignment vertical="top" wrapText="1"/>
    </xf>
    <xf numFmtId="0" fontId="58" fillId="8" borderId="6" xfId="0" applyFont="1" applyFill="1" applyBorder="1" applyAlignment="1">
      <alignment horizontal="center" vertical="top" wrapText="1"/>
    </xf>
    <xf numFmtId="0" fontId="58" fillId="8" borderId="6" xfId="0" applyFont="1" applyFill="1" applyBorder="1" applyAlignment="1">
      <alignment vertical="top" wrapText="1"/>
    </xf>
    <xf numFmtId="0" fontId="48" fillId="8" borderId="3" xfId="0" applyFont="1" applyFill="1" applyBorder="1" applyAlignment="1">
      <alignment vertical="top" wrapText="1"/>
    </xf>
    <xf numFmtId="0" fontId="40" fillId="8" borderId="3" xfId="0" applyFont="1" applyFill="1" applyBorder="1" applyAlignment="1">
      <alignment horizontal="center" vertical="top" wrapText="1"/>
    </xf>
    <xf numFmtId="0" fontId="40" fillId="8" borderId="13" xfId="0" applyFont="1" applyFill="1" applyBorder="1" applyAlignment="1">
      <alignment horizontal="center" vertical="top" wrapText="1"/>
    </xf>
    <xf numFmtId="0" fontId="18" fillId="11" borderId="13" xfId="0" applyFont="1" applyFill="1" applyBorder="1" applyAlignment="1">
      <alignment horizontal="left" vertical="top" wrapText="1"/>
    </xf>
    <xf numFmtId="0" fontId="59" fillId="0" borderId="3" xfId="0" applyFont="1" applyBorder="1" applyAlignment="1">
      <alignment horizontal="center" vertical="center" wrapText="1"/>
    </xf>
    <xf numFmtId="0" fontId="53" fillId="8" borderId="13" xfId="0" applyFont="1" applyFill="1" applyBorder="1" applyAlignment="1">
      <alignment horizontal="center" vertical="top" wrapText="1"/>
    </xf>
    <xf numFmtId="0" fontId="18" fillId="12" borderId="3" xfId="0" applyFont="1" applyFill="1" applyBorder="1" applyAlignment="1">
      <alignment horizontal="left" vertical="top" wrapText="1"/>
    </xf>
    <xf numFmtId="0" fontId="18" fillId="12" borderId="13" xfId="0" applyFont="1" applyFill="1" applyBorder="1" applyAlignment="1">
      <alignment horizontal="left" vertical="top" wrapText="1"/>
    </xf>
    <xf numFmtId="0" fontId="47" fillId="4" borderId="13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left" vertical="top" wrapText="1"/>
    </xf>
    <xf numFmtId="0" fontId="12" fillId="12" borderId="13" xfId="0" applyFont="1" applyFill="1" applyBorder="1" applyAlignment="1">
      <alignment horizontal="left" vertical="top" wrapText="1"/>
    </xf>
    <xf numFmtId="14" fontId="12" fillId="12" borderId="13" xfId="0" applyNumberFormat="1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center" vertical="top" wrapText="1"/>
    </xf>
    <xf numFmtId="0" fontId="12" fillId="8" borderId="6" xfId="0" applyFont="1" applyFill="1" applyBorder="1" applyAlignment="1">
      <alignment vertical="top" wrapText="1"/>
    </xf>
    <xf numFmtId="0" fontId="12" fillId="8" borderId="13" xfId="0" applyFont="1" applyFill="1" applyBorder="1" applyAlignment="1">
      <alignment horizontal="center" vertical="top" wrapText="1"/>
    </xf>
    <xf numFmtId="0" fontId="4" fillId="12" borderId="13" xfId="0" applyFont="1" applyFill="1" applyBorder="1" applyAlignment="1">
      <alignment horizontal="left" vertical="top" wrapText="1"/>
    </xf>
    <xf numFmtId="0" fontId="4" fillId="12" borderId="13" xfId="0" applyFont="1" applyFill="1" applyBorder="1" applyAlignment="1">
      <alignment horizontal="center" vertical="top" wrapText="1"/>
    </xf>
    <xf numFmtId="0" fontId="4" fillId="11" borderId="13" xfId="0" applyFont="1" applyFill="1" applyBorder="1" applyAlignment="1">
      <alignment horizontal="center" vertical="top" wrapText="1"/>
    </xf>
    <xf numFmtId="0" fontId="60" fillId="4" borderId="1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left" vertical="top" wrapText="1"/>
    </xf>
    <xf numFmtId="0" fontId="60" fillId="0" borderId="13" xfId="0" applyFont="1" applyBorder="1" applyAlignment="1">
      <alignment vertical="center" wrapText="1"/>
    </xf>
    <xf numFmtId="0" fontId="60" fillId="0" borderId="13" xfId="0" applyFont="1" applyBorder="1" applyAlignment="1">
      <alignment horizontal="center" vertical="center" wrapText="1"/>
    </xf>
    <xf numFmtId="0" fontId="60" fillId="0" borderId="6" xfId="0" applyFont="1" applyBorder="1" applyAlignment="1">
      <alignment horizontal="center" vertical="center" wrapText="1"/>
    </xf>
    <xf numFmtId="0" fontId="60" fillId="0" borderId="3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2" fillId="7" borderId="3" xfId="0" applyFont="1" applyFill="1" applyBorder="1" applyAlignment="1">
      <alignment vertical="center" wrapText="1"/>
    </xf>
    <xf numFmtId="0" fontId="62" fillId="7" borderId="13" xfId="0" applyFont="1" applyFill="1" applyBorder="1" applyAlignment="1">
      <alignment vertical="center" wrapText="1"/>
    </xf>
    <xf numFmtId="0" fontId="62" fillId="7" borderId="6" xfId="0" applyFont="1" applyFill="1" applyBorder="1" applyAlignment="1">
      <alignment vertical="center" wrapText="1"/>
    </xf>
    <xf numFmtId="0" fontId="61" fillId="0" borderId="13" xfId="0" applyFont="1" applyBorder="1" applyAlignment="1">
      <alignment horizontal="center" vertical="center"/>
    </xf>
    <xf numFmtId="0" fontId="53" fillId="8" borderId="13" xfId="0" applyFont="1" applyFill="1" applyBorder="1" applyAlignment="1">
      <alignment horizontal="center" vertical="top" wrapText="1"/>
    </xf>
    <xf numFmtId="0" fontId="12" fillId="8" borderId="1" xfId="0" applyFont="1" applyFill="1" applyBorder="1" applyAlignment="1">
      <alignment horizontal="center" vertical="top" wrapText="1"/>
    </xf>
    <xf numFmtId="0" fontId="60" fillId="0" borderId="6" xfId="0" applyFont="1" applyBorder="1" applyAlignment="1">
      <alignment horizontal="center" vertical="center" wrapText="1"/>
    </xf>
    <xf numFmtId="0" fontId="12" fillId="8" borderId="13" xfId="0" applyFont="1" applyFill="1" applyBorder="1" applyAlignment="1">
      <alignment horizontal="center" vertical="top" wrapText="1"/>
    </xf>
    <xf numFmtId="0" fontId="12" fillId="8" borderId="6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3" borderId="12" xfId="0" applyFont="1" applyFill="1" applyBorder="1" applyAlignment="1">
      <alignment horizontal="center" vertical="top" wrapText="1"/>
    </xf>
    <xf numFmtId="17" fontId="6" fillId="0" borderId="5" xfId="0" applyNumberFormat="1" applyFont="1" applyBorder="1" applyAlignment="1">
      <alignment horizontal="center" vertical="top" wrapText="1"/>
    </xf>
    <xf numFmtId="17" fontId="6" fillId="0" borderId="4" xfId="0" applyNumberFormat="1" applyFont="1" applyBorder="1" applyAlignment="1">
      <alignment horizontal="center" vertical="top" wrapText="1"/>
    </xf>
    <xf numFmtId="17" fontId="6" fillId="0" borderId="6" xfId="0" applyNumberFormat="1" applyFont="1" applyBorder="1" applyAlignment="1">
      <alignment horizontal="center" vertical="top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12" fillId="3" borderId="10" xfId="0" applyFont="1" applyFill="1" applyBorder="1" applyAlignment="1">
      <alignment horizontal="center" vertical="top" wrapText="1"/>
    </xf>
    <xf numFmtId="0" fontId="12" fillId="3" borderId="7" xfId="0" applyFont="1" applyFill="1" applyBorder="1" applyAlignment="1">
      <alignment horizontal="center" vertical="top" wrapText="1"/>
    </xf>
    <xf numFmtId="0" fontId="12" fillId="3" borderId="12" xfId="0" applyFont="1" applyFill="1" applyBorder="1" applyAlignment="1">
      <alignment horizontal="center" vertical="top" wrapText="1"/>
    </xf>
    <xf numFmtId="0" fontId="12" fillId="3" borderId="11" xfId="0" applyFont="1" applyFill="1" applyBorder="1" applyAlignment="1">
      <alignment horizontal="center" vertical="top" wrapText="1"/>
    </xf>
    <xf numFmtId="0" fontId="12" fillId="3" borderId="8" xfId="0" applyFont="1" applyFill="1" applyBorder="1" applyAlignment="1">
      <alignment horizontal="center" vertical="top" wrapText="1"/>
    </xf>
    <xf numFmtId="0" fontId="12" fillId="3" borderId="13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top" wrapText="1"/>
    </xf>
    <xf numFmtId="0" fontId="12" fillId="3" borderId="4" xfId="0" applyFont="1" applyFill="1" applyBorder="1" applyAlignment="1">
      <alignment horizontal="center" vertical="top" wrapText="1"/>
    </xf>
    <xf numFmtId="0" fontId="12" fillId="3" borderId="6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5" fillId="3" borderId="6" xfId="0" applyFont="1" applyFill="1" applyBorder="1" applyAlignment="1">
      <alignment horizontal="center" vertical="top"/>
    </xf>
    <xf numFmtId="0" fontId="13" fillId="0" borderId="2" xfId="0" applyFont="1" applyBorder="1" applyAlignment="1">
      <alignment horizontal="center" vertical="center" textRotation="90"/>
    </xf>
    <xf numFmtId="0" fontId="13" fillId="0" borderId="14" xfId="0" applyFont="1" applyBorder="1" applyAlignment="1">
      <alignment horizontal="center" vertical="center" textRotation="90"/>
    </xf>
    <xf numFmtId="0" fontId="13" fillId="0" borderId="3" xfId="0" applyFont="1" applyBorder="1" applyAlignment="1">
      <alignment horizontal="center" vertical="center" textRotation="90"/>
    </xf>
    <xf numFmtId="0" fontId="10" fillId="0" borderId="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left" vertical="top" wrapText="1"/>
    </xf>
    <xf numFmtId="0" fontId="14" fillId="4" borderId="4" xfId="0" applyFont="1" applyFill="1" applyBorder="1" applyAlignment="1">
      <alignment horizontal="left" vertical="top" wrapText="1"/>
    </xf>
    <xf numFmtId="0" fontId="14" fillId="4" borderId="6" xfId="0" applyFont="1" applyFill="1" applyBorder="1" applyAlignment="1">
      <alignment horizontal="left" vertical="top" wrapText="1"/>
    </xf>
    <xf numFmtId="0" fontId="12" fillId="3" borderId="2" xfId="0" applyFont="1" applyFill="1" applyBorder="1" applyAlignment="1">
      <alignment horizontal="center" vertical="top" wrapText="1"/>
    </xf>
    <xf numFmtId="0" fontId="12" fillId="3" borderId="3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left" vertical="top" wrapText="1"/>
    </xf>
    <xf numFmtId="0" fontId="20" fillId="4" borderId="4" xfId="0" applyFont="1" applyFill="1" applyBorder="1" applyAlignment="1">
      <alignment horizontal="left" vertical="top" wrapText="1"/>
    </xf>
    <xf numFmtId="0" fontId="20" fillId="4" borderId="6" xfId="0" applyFont="1" applyFill="1" applyBorder="1" applyAlignment="1">
      <alignment horizontal="left" vertical="top" wrapText="1"/>
    </xf>
    <xf numFmtId="0" fontId="21" fillId="2" borderId="1" xfId="0" applyFont="1" applyFill="1" applyBorder="1" applyAlignment="1">
      <alignment horizontal="center" vertical="top" wrapText="1"/>
    </xf>
    <xf numFmtId="0" fontId="23" fillId="2" borderId="5" xfId="0" applyFont="1" applyFill="1" applyBorder="1" applyAlignment="1">
      <alignment horizontal="center" vertical="top" wrapText="1"/>
    </xf>
    <xf numFmtId="0" fontId="23" fillId="2" borderId="4" xfId="0" applyFont="1" applyFill="1" applyBorder="1" applyAlignment="1">
      <alignment horizontal="center" vertical="top" wrapText="1"/>
    </xf>
    <xf numFmtId="0" fontId="23" fillId="2" borderId="6" xfId="0" applyFont="1" applyFill="1" applyBorder="1" applyAlignment="1">
      <alignment horizontal="center" vertical="top" wrapText="1"/>
    </xf>
    <xf numFmtId="0" fontId="24" fillId="2" borderId="5" xfId="0" applyFont="1" applyFill="1" applyBorder="1" applyAlignment="1">
      <alignment horizontal="center" vertical="top" wrapText="1"/>
    </xf>
    <xf numFmtId="0" fontId="24" fillId="2" borderId="4" xfId="0" applyFont="1" applyFill="1" applyBorder="1" applyAlignment="1">
      <alignment horizontal="center" vertical="top" wrapText="1"/>
    </xf>
    <xf numFmtId="0" fontId="24" fillId="2" borderId="6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6" fillId="4" borderId="0" xfId="0" applyFont="1" applyFill="1" applyBorder="1" applyAlignment="1">
      <alignment horizontal="left" vertical="top"/>
    </xf>
    <xf numFmtId="0" fontId="26" fillId="4" borderId="8" xfId="0" applyFont="1" applyFill="1" applyBorder="1" applyAlignment="1">
      <alignment horizontal="left" vertical="top"/>
    </xf>
    <xf numFmtId="0" fontId="26" fillId="3" borderId="5" xfId="0" applyFont="1" applyFill="1" applyBorder="1" applyAlignment="1">
      <alignment horizontal="center" vertical="top" wrapText="1"/>
    </xf>
    <xf numFmtId="0" fontId="26" fillId="3" borderId="6" xfId="0" applyFont="1" applyFill="1" applyBorder="1" applyAlignment="1">
      <alignment horizontal="center" vertical="top" wrapText="1"/>
    </xf>
    <xf numFmtId="0" fontId="26" fillId="3" borderId="5" xfId="0" applyFont="1" applyFill="1" applyBorder="1" applyAlignment="1">
      <alignment horizontal="center" vertical="top"/>
    </xf>
    <xf numFmtId="0" fontId="26" fillId="3" borderId="4" xfId="0" applyFont="1" applyFill="1" applyBorder="1" applyAlignment="1">
      <alignment horizontal="center" vertical="top"/>
    </xf>
    <xf numFmtId="0" fontId="26" fillId="3" borderId="6" xfId="0" applyFont="1" applyFill="1" applyBorder="1" applyAlignment="1">
      <alignment horizontal="center" vertical="top"/>
    </xf>
    <xf numFmtId="0" fontId="27" fillId="3" borderId="5" xfId="0" applyFont="1" applyFill="1" applyBorder="1" applyAlignment="1">
      <alignment horizontal="center" vertical="top" wrapText="1"/>
    </xf>
    <xf numFmtId="0" fontId="27" fillId="3" borderId="4" xfId="0" applyFont="1" applyFill="1" applyBorder="1" applyAlignment="1">
      <alignment horizontal="center" vertical="top" wrapText="1"/>
    </xf>
    <xf numFmtId="0" fontId="27" fillId="3" borderId="6" xfId="0" applyFont="1" applyFill="1" applyBorder="1" applyAlignment="1">
      <alignment horizontal="center" vertical="top" wrapText="1"/>
    </xf>
    <xf numFmtId="0" fontId="27" fillId="3" borderId="1" xfId="0" applyFont="1" applyFill="1" applyBorder="1" applyAlignment="1">
      <alignment horizontal="center" vertical="top" wrapText="1"/>
    </xf>
    <xf numFmtId="0" fontId="27" fillId="3" borderId="10" xfId="0" applyFont="1" applyFill="1" applyBorder="1" applyAlignment="1">
      <alignment horizontal="center" vertical="top" wrapText="1"/>
    </xf>
    <xf numFmtId="0" fontId="27" fillId="3" borderId="12" xfId="0" applyFont="1" applyFill="1" applyBorder="1" applyAlignment="1">
      <alignment horizontal="center" vertical="top" wrapText="1"/>
    </xf>
    <xf numFmtId="0" fontId="27" fillId="3" borderId="11" xfId="0" applyFont="1" applyFill="1" applyBorder="1" applyAlignment="1">
      <alignment horizontal="center" vertical="top" wrapText="1"/>
    </xf>
    <xf numFmtId="0" fontId="27" fillId="3" borderId="13" xfId="0" applyFont="1" applyFill="1" applyBorder="1" applyAlignment="1">
      <alignment horizontal="center" vertical="top" wrapText="1"/>
    </xf>
    <xf numFmtId="0" fontId="27" fillId="3" borderId="2" xfId="0" applyFont="1" applyFill="1" applyBorder="1" applyAlignment="1">
      <alignment horizontal="center" vertical="top" wrapText="1"/>
    </xf>
    <xf numFmtId="0" fontId="27" fillId="3" borderId="3" xfId="0" applyFont="1" applyFill="1" applyBorder="1" applyAlignment="1">
      <alignment horizontal="center" vertical="top" wrapText="1"/>
    </xf>
    <xf numFmtId="0" fontId="27" fillId="3" borderId="2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horizontal="center" vertical="top" wrapText="1"/>
    </xf>
    <xf numFmtId="0" fontId="27" fillId="3" borderId="7" xfId="0" applyFont="1" applyFill="1" applyBorder="1" applyAlignment="1">
      <alignment horizontal="center" vertical="top" wrapText="1"/>
    </xf>
    <xf numFmtId="0" fontId="27" fillId="3" borderId="8" xfId="0" applyFont="1" applyFill="1" applyBorder="1" applyAlignment="1">
      <alignment horizontal="center" vertical="top" wrapText="1"/>
    </xf>
    <xf numFmtId="0" fontId="38" fillId="3" borderId="1" xfId="0" applyFont="1" applyFill="1" applyBorder="1" applyAlignment="1">
      <alignment horizontal="center" vertical="top" wrapText="1"/>
    </xf>
    <xf numFmtId="0" fontId="38" fillId="3" borderId="10" xfId="0" applyFont="1" applyFill="1" applyBorder="1" applyAlignment="1">
      <alignment horizontal="center" vertical="top" wrapText="1"/>
    </xf>
    <xf numFmtId="0" fontId="38" fillId="3" borderId="7" xfId="0" applyFont="1" applyFill="1" applyBorder="1" applyAlignment="1">
      <alignment horizontal="center" vertical="top" wrapText="1"/>
    </xf>
    <xf numFmtId="0" fontId="38" fillId="3" borderId="12" xfId="0" applyFont="1" applyFill="1" applyBorder="1" applyAlignment="1">
      <alignment horizontal="center" vertical="top" wrapText="1"/>
    </xf>
    <xf numFmtId="0" fontId="38" fillId="3" borderId="11" xfId="0" applyFont="1" applyFill="1" applyBorder="1" applyAlignment="1">
      <alignment horizontal="center" vertical="top" wrapText="1"/>
    </xf>
    <xf numFmtId="0" fontId="38" fillId="3" borderId="8" xfId="0" applyFont="1" applyFill="1" applyBorder="1" applyAlignment="1">
      <alignment horizontal="center" vertical="top" wrapText="1"/>
    </xf>
    <xf numFmtId="0" fontId="38" fillId="3" borderId="13" xfId="0" applyFont="1" applyFill="1" applyBorder="1" applyAlignment="1">
      <alignment horizontal="center" vertical="top" wrapText="1"/>
    </xf>
    <xf numFmtId="0" fontId="28" fillId="0" borderId="5" xfId="0" applyFont="1" applyBorder="1" applyAlignment="1">
      <alignment horizontal="center" vertical="center" textRotation="90" wrapText="1"/>
    </xf>
    <xf numFmtId="0" fontId="28" fillId="0" borderId="6" xfId="0" applyFont="1" applyBorder="1" applyAlignment="1">
      <alignment horizontal="center" vertical="center" textRotation="90" wrapText="1"/>
    </xf>
    <xf numFmtId="0" fontId="31" fillId="0" borderId="5" xfId="0" applyFont="1" applyBorder="1" applyAlignment="1">
      <alignment horizontal="center" vertical="top" wrapText="1"/>
    </xf>
    <xf numFmtId="0" fontId="31" fillId="0" borderId="6" xfId="0" applyFont="1" applyBorder="1" applyAlignment="1">
      <alignment horizontal="center" vertical="top" wrapText="1"/>
    </xf>
    <xf numFmtId="0" fontId="31" fillId="0" borderId="5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0" fontId="31" fillId="0" borderId="6" xfId="0" applyFont="1" applyBorder="1" applyAlignment="1">
      <alignment horizontal="left" vertical="top" wrapText="1"/>
    </xf>
    <xf numFmtId="0" fontId="37" fillId="0" borderId="5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31" fillId="0" borderId="4" xfId="0" applyFont="1" applyBorder="1" applyAlignment="1">
      <alignment horizontal="center" vertical="top" wrapText="1"/>
    </xf>
    <xf numFmtId="0" fontId="29" fillId="0" borderId="5" xfId="0" applyFont="1" applyBorder="1" applyAlignment="1">
      <alignment horizontal="center" vertical="top" wrapText="1"/>
    </xf>
    <xf numFmtId="0" fontId="29" fillId="0" borderId="6" xfId="0" applyFont="1" applyBorder="1" applyAlignment="1">
      <alignment horizontal="center" vertical="top" wrapText="1"/>
    </xf>
    <xf numFmtId="0" fontId="32" fillId="0" borderId="5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32" fillId="0" borderId="6" xfId="0" applyFont="1" applyBorder="1" applyAlignment="1">
      <alignment horizontal="left" vertical="top" wrapText="1"/>
    </xf>
    <xf numFmtId="0" fontId="33" fillId="0" borderId="5" xfId="0" applyFont="1" applyBorder="1" applyAlignment="1">
      <alignment horizontal="left" vertical="top"/>
    </xf>
    <xf numFmtId="0" fontId="33" fillId="0" borderId="6" xfId="0" applyFont="1" applyBorder="1" applyAlignment="1">
      <alignment horizontal="left" vertical="top"/>
    </xf>
    <xf numFmtId="0" fontId="34" fillId="0" borderId="5" xfId="0" applyFont="1" applyBorder="1" applyAlignment="1">
      <alignment horizontal="center" vertical="top" wrapText="1"/>
    </xf>
    <xf numFmtId="0" fontId="34" fillId="0" borderId="6" xfId="0" applyFont="1" applyBorder="1" applyAlignment="1">
      <alignment horizontal="center" vertical="top" wrapText="1"/>
    </xf>
    <xf numFmtId="0" fontId="34" fillId="0" borderId="5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34" fillId="0" borderId="6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12" fillId="4" borderId="0" xfId="0" applyFont="1" applyFill="1" applyBorder="1" applyAlignment="1">
      <alignment horizontal="center" vertical="top" wrapText="1"/>
    </xf>
    <xf numFmtId="0" fontId="38" fillId="3" borderId="5" xfId="0" applyFont="1" applyFill="1" applyBorder="1" applyAlignment="1">
      <alignment horizontal="center" vertical="top" wrapText="1"/>
    </xf>
    <xf numFmtId="0" fontId="38" fillId="3" borderId="6" xfId="0" applyFont="1" applyFill="1" applyBorder="1" applyAlignment="1">
      <alignment horizontal="center" vertical="top" wrapText="1"/>
    </xf>
    <xf numFmtId="0" fontId="32" fillId="0" borderId="5" xfId="0" applyFont="1" applyBorder="1" applyAlignment="1">
      <alignment horizontal="center" vertical="top" wrapText="1"/>
    </xf>
    <xf numFmtId="0" fontId="32" fillId="0" borderId="6" xfId="0" applyFont="1" applyBorder="1" applyAlignment="1">
      <alignment horizontal="center" vertical="top" wrapText="1"/>
    </xf>
    <xf numFmtId="0" fontId="32" fillId="0" borderId="4" xfId="0" applyFont="1" applyBorder="1" applyAlignment="1">
      <alignment horizontal="center" vertical="top" wrapText="1"/>
    </xf>
    <xf numFmtId="0" fontId="47" fillId="4" borderId="5" xfId="0" applyFont="1" applyFill="1" applyBorder="1" applyAlignment="1">
      <alignment horizontal="left" vertical="center" wrapText="1"/>
    </xf>
    <xf numFmtId="0" fontId="47" fillId="4" borderId="6" xfId="0" applyFont="1" applyFill="1" applyBorder="1" applyAlignment="1">
      <alignment horizontal="left" vertical="center" wrapText="1"/>
    </xf>
    <xf numFmtId="0" fontId="18" fillId="12" borderId="5" xfId="0" applyFont="1" applyFill="1" applyBorder="1" applyAlignment="1">
      <alignment horizontal="left" vertical="top" wrapText="1"/>
    </xf>
    <xf numFmtId="0" fontId="18" fillId="12" borderId="4" xfId="0" applyFont="1" applyFill="1" applyBorder="1" applyAlignment="1">
      <alignment horizontal="left" vertical="top" wrapText="1"/>
    </xf>
    <xf numFmtId="0" fontId="18" fillId="12" borderId="6" xfId="0" applyFont="1" applyFill="1" applyBorder="1" applyAlignment="1">
      <alignment horizontal="left" vertical="top" wrapText="1"/>
    </xf>
    <xf numFmtId="0" fontId="47" fillId="4" borderId="10" xfId="0" applyFont="1" applyFill="1" applyBorder="1" applyAlignment="1">
      <alignment horizontal="left" vertical="center" wrapText="1"/>
    </xf>
    <xf numFmtId="0" fontId="47" fillId="4" borderId="12" xfId="0" applyFont="1" applyFill="1" applyBorder="1" applyAlignment="1">
      <alignment horizontal="left" vertical="center" wrapText="1"/>
    </xf>
    <xf numFmtId="0" fontId="47" fillId="4" borderId="11" xfId="0" applyFont="1" applyFill="1" applyBorder="1" applyAlignment="1">
      <alignment horizontal="left" vertical="center" wrapText="1"/>
    </xf>
    <xf numFmtId="0" fontId="47" fillId="4" borderId="13" xfId="0" applyFont="1" applyFill="1" applyBorder="1" applyAlignment="1">
      <alignment horizontal="left" vertical="center" wrapText="1"/>
    </xf>
    <xf numFmtId="0" fontId="52" fillId="0" borderId="5" xfId="0" applyFont="1" applyBorder="1" applyAlignment="1">
      <alignment horizontal="left" vertical="center" wrapText="1"/>
    </xf>
    <xf numFmtId="0" fontId="52" fillId="0" borderId="6" xfId="0" applyFont="1" applyBorder="1" applyAlignment="1">
      <alignment horizontal="left" vertical="center" wrapText="1"/>
    </xf>
    <xf numFmtId="0" fontId="47" fillId="0" borderId="5" xfId="0" applyFont="1" applyBorder="1" applyAlignment="1">
      <alignment horizontal="left" vertical="center" wrapText="1"/>
    </xf>
    <xf numFmtId="0" fontId="47" fillId="0" borderId="6" xfId="0" applyFont="1" applyBorder="1" applyAlignment="1">
      <alignment horizontal="left" vertical="center" wrapText="1"/>
    </xf>
    <xf numFmtId="0" fontId="18" fillId="7" borderId="5" xfId="0" applyFont="1" applyFill="1" applyBorder="1" applyAlignment="1">
      <alignment horizontal="left" vertical="top" wrapText="1"/>
    </xf>
    <xf numFmtId="0" fontId="18" fillId="7" borderId="4" xfId="0" applyFont="1" applyFill="1" applyBorder="1" applyAlignment="1">
      <alignment horizontal="left" vertical="top" wrapText="1"/>
    </xf>
    <xf numFmtId="0" fontId="18" fillId="7" borderId="6" xfId="0" applyFont="1" applyFill="1" applyBorder="1" applyAlignment="1">
      <alignment horizontal="left" vertical="top" wrapText="1"/>
    </xf>
    <xf numFmtId="0" fontId="47" fillId="4" borderId="5" xfId="0" applyFont="1" applyFill="1" applyBorder="1" applyAlignment="1">
      <alignment vertical="center" wrapText="1"/>
    </xf>
    <xf numFmtId="0" fontId="47" fillId="4" borderId="6" xfId="0" applyFont="1" applyFill="1" applyBorder="1" applyAlignment="1">
      <alignment vertical="center" wrapText="1"/>
    </xf>
    <xf numFmtId="0" fontId="53" fillId="8" borderId="10" xfId="0" applyFont="1" applyFill="1" applyBorder="1" applyAlignment="1">
      <alignment horizontal="center" vertical="top" wrapText="1"/>
    </xf>
    <xf numFmtId="0" fontId="53" fillId="8" borderId="7" xfId="0" applyFont="1" applyFill="1" applyBorder="1" applyAlignment="1">
      <alignment horizontal="center" vertical="top" wrapText="1"/>
    </xf>
    <xf numFmtId="0" fontId="53" fillId="8" borderId="12" xfId="0" applyFont="1" applyFill="1" applyBorder="1" applyAlignment="1">
      <alignment horizontal="center" vertical="top" wrapText="1"/>
    </xf>
    <xf numFmtId="0" fontId="53" fillId="8" borderId="11" xfId="0" applyFont="1" applyFill="1" applyBorder="1" applyAlignment="1">
      <alignment horizontal="center" vertical="top" wrapText="1"/>
    </xf>
    <xf numFmtId="0" fontId="53" fillId="8" borderId="8" xfId="0" applyFont="1" applyFill="1" applyBorder="1" applyAlignment="1">
      <alignment horizontal="center" vertical="top" wrapText="1"/>
    </xf>
    <xf numFmtId="0" fontId="53" fillId="8" borderId="13" xfId="0" applyFont="1" applyFill="1" applyBorder="1" applyAlignment="1">
      <alignment horizontal="center" vertical="top" wrapText="1"/>
    </xf>
    <xf numFmtId="0" fontId="53" fillId="8" borderId="5" xfId="0" applyFont="1" applyFill="1" applyBorder="1" applyAlignment="1">
      <alignment horizontal="center" vertical="top" wrapText="1"/>
    </xf>
    <xf numFmtId="0" fontId="53" fillId="8" borderId="4" xfId="0" applyFont="1" applyFill="1" applyBorder="1" applyAlignment="1">
      <alignment horizontal="center" vertical="top" wrapText="1"/>
    </xf>
    <xf numFmtId="0" fontId="53" fillId="8" borderId="15" xfId="0" applyFont="1" applyFill="1" applyBorder="1" applyAlignment="1">
      <alignment horizontal="center" vertical="top" wrapText="1"/>
    </xf>
    <xf numFmtId="0" fontId="12" fillId="8" borderId="1" xfId="0" applyFont="1" applyFill="1" applyBorder="1" applyAlignment="1">
      <alignment horizontal="center" vertical="top" wrapText="1"/>
    </xf>
    <xf numFmtId="0" fontId="54" fillId="8" borderId="5" xfId="0" applyFont="1" applyFill="1" applyBorder="1" applyAlignment="1">
      <alignment horizontal="center" vertical="top" wrapText="1"/>
    </xf>
    <xf numFmtId="0" fontId="54" fillId="8" borderId="6" xfId="0" applyFont="1" applyFill="1" applyBorder="1" applyAlignment="1">
      <alignment horizontal="center" vertical="top" wrapText="1"/>
    </xf>
    <xf numFmtId="0" fontId="53" fillId="8" borderId="2" xfId="0" applyFont="1" applyFill="1" applyBorder="1" applyAlignment="1">
      <alignment horizontal="center" vertical="center" wrapText="1"/>
    </xf>
    <xf numFmtId="0" fontId="53" fillId="8" borderId="16" xfId="0" applyFont="1" applyFill="1" applyBorder="1" applyAlignment="1">
      <alignment horizontal="center" vertical="center" wrapText="1"/>
    </xf>
    <xf numFmtId="0" fontId="54" fillId="8" borderId="2" xfId="0" applyFont="1" applyFill="1" applyBorder="1" applyAlignment="1">
      <alignment horizontal="center" vertical="top" wrapText="1"/>
    </xf>
    <xf numFmtId="0" fontId="54" fillId="8" borderId="16" xfId="0" applyFont="1" applyFill="1" applyBorder="1" applyAlignment="1">
      <alignment horizontal="center" vertical="top" wrapText="1"/>
    </xf>
    <xf numFmtId="0" fontId="54" fillId="8" borderId="10" xfId="0" applyFont="1" applyFill="1" applyBorder="1" applyAlignment="1">
      <alignment horizontal="center" vertical="top" wrapText="1"/>
    </xf>
    <xf numFmtId="0" fontId="54" fillId="8" borderId="12" xfId="0" applyFont="1" applyFill="1" applyBorder="1" applyAlignment="1">
      <alignment horizontal="center" vertical="top" wrapText="1"/>
    </xf>
    <xf numFmtId="0" fontId="54" fillId="8" borderId="11" xfId="0" applyFont="1" applyFill="1" applyBorder="1" applyAlignment="1">
      <alignment horizontal="center" vertical="top" wrapText="1"/>
    </xf>
    <xf numFmtId="0" fontId="54" fillId="8" borderId="13" xfId="0" applyFont="1" applyFill="1" applyBorder="1" applyAlignment="1">
      <alignment horizontal="center" vertical="top" wrapText="1"/>
    </xf>
    <xf numFmtId="0" fontId="50" fillId="8" borderId="10" xfId="0" applyFont="1" applyFill="1" applyBorder="1" applyAlignment="1">
      <alignment horizontal="center" vertical="top" wrapText="1"/>
    </xf>
    <xf numFmtId="0" fontId="50" fillId="8" borderId="12" xfId="0" applyFont="1" applyFill="1" applyBorder="1" applyAlignment="1">
      <alignment horizontal="center" vertical="top" wrapText="1"/>
    </xf>
    <xf numFmtId="0" fontId="50" fillId="8" borderId="11" xfId="0" applyFont="1" applyFill="1" applyBorder="1" applyAlignment="1">
      <alignment horizontal="center" vertical="top" wrapText="1"/>
    </xf>
    <xf numFmtId="0" fontId="50" fillId="8" borderId="13" xfId="0" applyFont="1" applyFill="1" applyBorder="1" applyAlignment="1">
      <alignment horizontal="center" vertical="top" wrapText="1"/>
    </xf>
    <xf numFmtId="0" fontId="49" fillId="6" borderId="5" xfId="0" applyFont="1" applyFill="1" applyBorder="1" applyAlignment="1">
      <alignment horizontal="center" vertical="center" wrapText="1"/>
    </xf>
    <xf numFmtId="0" fontId="49" fillId="6" borderId="4" xfId="0" applyFont="1" applyFill="1" applyBorder="1" applyAlignment="1">
      <alignment horizontal="center" vertical="center" wrapText="1"/>
    </xf>
    <xf numFmtId="0" fontId="49" fillId="6" borderId="6" xfId="0" applyFont="1" applyFill="1" applyBorder="1" applyAlignment="1">
      <alignment horizontal="center" vertical="center" wrapText="1"/>
    </xf>
    <xf numFmtId="0" fontId="51" fillId="6" borderId="5" xfId="0" applyFont="1" applyFill="1" applyBorder="1" applyAlignment="1">
      <alignment horizontal="center" vertical="center" wrapText="1"/>
    </xf>
    <xf numFmtId="0" fontId="51" fillId="6" borderId="4" xfId="0" applyFont="1" applyFill="1" applyBorder="1" applyAlignment="1">
      <alignment horizontal="center" vertical="center" wrapText="1"/>
    </xf>
    <xf numFmtId="0" fontId="51" fillId="6" borderId="6" xfId="0" applyFont="1" applyFill="1" applyBorder="1" applyAlignment="1">
      <alignment horizontal="center" vertical="center" wrapText="1"/>
    </xf>
    <xf numFmtId="0" fontId="42" fillId="6" borderId="5" xfId="0" applyFont="1" applyFill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center" vertical="center" wrapText="1"/>
    </xf>
    <xf numFmtId="0" fontId="42" fillId="6" borderId="6" xfId="0" applyFont="1" applyFill="1" applyBorder="1" applyAlignment="1">
      <alignment horizontal="center" vertical="center" wrapText="1"/>
    </xf>
    <xf numFmtId="0" fontId="52" fillId="0" borderId="7" xfId="0" applyFont="1" applyBorder="1" applyAlignment="1">
      <alignment horizontal="left"/>
    </xf>
    <xf numFmtId="0" fontId="52" fillId="7" borderId="0" xfId="0" applyFont="1" applyFill="1" applyBorder="1" applyAlignment="1">
      <alignment horizontal="left" vertical="top"/>
    </xf>
    <xf numFmtId="0" fontId="54" fillId="8" borderId="4" xfId="0" applyFont="1" applyFill="1" applyBorder="1" applyAlignment="1">
      <alignment horizontal="center" vertical="top" wrapText="1"/>
    </xf>
    <xf numFmtId="0" fontId="54" fillId="8" borderId="15" xfId="0" applyFont="1" applyFill="1" applyBorder="1" applyAlignment="1">
      <alignment horizontal="center" vertical="top" wrapText="1"/>
    </xf>
    <xf numFmtId="0" fontId="48" fillId="0" borderId="4" xfId="0" applyFont="1" applyBorder="1" applyAlignment="1">
      <alignment horizontal="left" wrapText="1"/>
    </xf>
    <xf numFmtId="0" fontId="56" fillId="0" borderId="5" xfId="0" applyFont="1" applyBorder="1" applyAlignment="1">
      <alignment horizontal="center" vertical="center" wrapText="1"/>
    </xf>
    <xf numFmtId="0" fontId="56" fillId="0" borderId="6" xfId="0" applyFont="1" applyBorder="1" applyAlignment="1">
      <alignment horizontal="center" vertical="center" wrapText="1"/>
    </xf>
    <xf numFmtId="17" fontId="56" fillId="0" borderId="5" xfId="0" applyNumberFormat="1" applyFont="1" applyBorder="1" applyAlignment="1">
      <alignment horizontal="center" vertical="center" wrapText="1"/>
    </xf>
    <xf numFmtId="17" fontId="56" fillId="0" borderId="4" xfId="0" applyNumberFormat="1" applyFont="1" applyBorder="1" applyAlignment="1">
      <alignment horizontal="center" vertical="center" wrapText="1"/>
    </xf>
    <xf numFmtId="17" fontId="56" fillId="0" borderId="6" xfId="0" applyNumberFormat="1" applyFont="1" applyBorder="1" applyAlignment="1">
      <alignment horizontal="center" vertical="center" wrapText="1"/>
    </xf>
    <xf numFmtId="0" fontId="57" fillId="0" borderId="5" xfId="0" applyFont="1" applyBorder="1" applyAlignment="1">
      <alignment horizontal="center" vertical="center" wrapText="1"/>
    </xf>
    <xf numFmtId="0" fontId="57" fillId="0" borderId="4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center" vertical="center" wrapText="1"/>
    </xf>
    <xf numFmtId="0" fontId="53" fillId="8" borderId="6" xfId="0" applyFont="1" applyFill="1" applyBorder="1" applyAlignment="1">
      <alignment horizontal="center" vertical="top" wrapText="1"/>
    </xf>
    <xf numFmtId="0" fontId="52" fillId="8" borderId="17" xfId="0" applyFont="1" applyFill="1" applyBorder="1" applyAlignment="1">
      <alignment horizontal="center" vertical="center" wrapText="1"/>
    </xf>
    <xf numFmtId="0" fontId="52" fillId="8" borderId="4" xfId="0" applyFont="1" applyFill="1" applyBorder="1" applyAlignment="1">
      <alignment horizontal="center" vertical="center" wrapText="1"/>
    </xf>
    <xf numFmtId="0" fontId="52" fillId="8" borderId="6" xfId="0" applyFont="1" applyFill="1" applyBorder="1" applyAlignment="1">
      <alignment horizontal="center" vertical="center" wrapText="1"/>
    </xf>
    <xf numFmtId="0" fontId="18" fillId="8" borderId="10" xfId="0" applyFont="1" applyFill="1" applyBorder="1" applyAlignment="1">
      <alignment horizontal="center" vertical="top" wrapText="1"/>
    </xf>
    <xf numFmtId="0" fontId="18" fillId="8" borderId="7" xfId="0" applyFont="1" applyFill="1" applyBorder="1" applyAlignment="1">
      <alignment horizontal="center" vertical="top" wrapText="1"/>
    </xf>
    <xf numFmtId="0" fontId="18" fillId="8" borderId="12" xfId="0" applyFont="1" applyFill="1" applyBorder="1" applyAlignment="1">
      <alignment horizontal="center" vertical="top" wrapText="1"/>
    </xf>
    <xf numFmtId="0" fontId="18" fillId="8" borderId="11" xfId="0" applyFont="1" applyFill="1" applyBorder="1" applyAlignment="1">
      <alignment horizontal="center" vertical="top" wrapText="1"/>
    </xf>
    <xf numFmtId="0" fontId="18" fillId="8" borderId="8" xfId="0" applyFont="1" applyFill="1" applyBorder="1" applyAlignment="1">
      <alignment horizontal="center" vertical="top" wrapText="1"/>
    </xf>
    <xf numFmtId="0" fontId="18" fillId="8" borderId="13" xfId="0" applyFont="1" applyFill="1" applyBorder="1" applyAlignment="1">
      <alignment horizontal="center" vertical="top" wrapText="1"/>
    </xf>
    <xf numFmtId="0" fontId="40" fillId="8" borderId="5" xfId="0" applyFont="1" applyFill="1" applyBorder="1" applyAlignment="1">
      <alignment horizontal="center" vertical="top" wrapText="1"/>
    </xf>
    <xf numFmtId="0" fontId="40" fillId="8" borderId="4" xfId="0" applyFont="1" applyFill="1" applyBorder="1" applyAlignment="1">
      <alignment horizontal="center" vertical="top" wrapText="1"/>
    </xf>
    <xf numFmtId="0" fontId="40" fillId="8" borderId="6" xfId="0" applyFont="1" applyFill="1" applyBorder="1" applyAlignment="1">
      <alignment horizontal="center" vertical="top" wrapText="1"/>
    </xf>
    <xf numFmtId="0" fontId="48" fillId="8" borderId="5" xfId="0" applyFont="1" applyFill="1" applyBorder="1" applyAlignment="1">
      <alignment horizontal="center" vertical="top" wrapText="1"/>
    </xf>
    <xf numFmtId="0" fontId="48" fillId="8" borderId="4" xfId="0" applyFont="1" applyFill="1" applyBorder="1" applyAlignment="1">
      <alignment horizontal="center" vertical="top" wrapText="1"/>
    </xf>
    <xf numFmtId="0" fontId="48" fillId="8" borderId="6" xfId="0" applyFont="1" applyFill="1" applyBorder="1" applyAlignment="1">
      <alignment horizontal="center" vertical="top" wrapText="1"/>
    </xf>
    <xf numFmtId="0" fontId="55" fillId="7" borderId="5" xfId="0" applyFont="1" applyFill="1" applyBorder="1" applyAlignment="1">
      <alignment horizontal="center" vertical="center" wrapText="1"/>
    </xf>
    <xf numFmtId="0" fontId="55" fillId="7" borderId="6" xfId="0" applyFont="1" applyFill="1" applyBorder="1" applyAlignment="1">
      <alignment horizontal="center" vertical="center" wrapText="1"/>
    </xf>
    <xf numFmtId="0" fontId="63" fillId="6" borderId="5" xfId="0" applyFont="1" applyFill="1" applyBorder="1" applyAlignment="1">
      <alignment horizontal="center" vertical="center" wrapText="1"/>
    </xf>
    <xf numFmtId="0" fontId="63" fillId="6" borderId="4" xfId="0" applyFont="1" applyFill="1" applyBorder="1" applyAlignment="1">
      <alignment horizontal="center" vertical="center" wrapText="1"/>
    </xf>
    <xf numFmtId="0" fontId="63" fillId="6" borderId="6" xfId="0" applyFont="1" applyFill="1" applyBorder="1" applyAlignment="1">
      <alignment horizontal="center" vertical="center" wrapText="1"/>
    </xf>
    <xf numFmtId="0" fontId="48" fillId="0" borderId="4" xfId="0" applyFont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top" wrapText="1"/>
    </xf>
    <xf numFmtId="0" fontId="12" fillId="8" borderId="4" xfId="0" applyFont="1" applyFill="1" applyBorder="1" applyAlignment="1">
      <alignment horizontal="center" vertical="top" wrapText="1"/>
    </xf>
    <xf numFmtId="0" fontId="12" fillId="8" borderId="15" xfId="0" applyFont="1" applyFill="1" applyBorder="1" applyAlignment="1">
      <alignment horizontal="center" vertical="top" wrapText="1"/>
    </xf>
    <xf numFmtId="0" fontId="12" fillId="8" borderId="10" xfId="0" applyFont="1" applyFill="1" applyBorder="1" applyAlignment="1">
      <alignment horizontal="center" vertical="top" wrapText="1"/>
    </xf>
    <xf numFmtId="0" fontId="12" fillId="8" borderId="12" xfId="0" applyFont="1" applyFill="1" applyBorder="1" applyAlignment="1">
      <alignment horizontal="center" vertical="top" wrapText="1"/>
    </xf>
    <xf numFmtId="0" fontId="12" fillId="8" borderId="11" xfId="0" applyFont="1" applyFill="1" applyBorder="1" applyAlignment="1">
      <alignment horizontal="center" vertical="top" wrapText="1"/>
    </xf>
    <xf numFmtId="0" fontId="12" fillId="8" borderId="13" xfId="0" applyFont="1" applyFill="1" applyBorder="1" applyAlignment="1">
      <alignment horizontal="center" vertical="top" wrapText="1"/>
    </xf>
    <xf numFmtId="0" fontId="12" fillId="8" borderId="6" xfId="0" applyFont="1" applyFill="1" applyBorder="1" applyAlignment="1">
      <alignment horizontal="center" vertical="top" wrapText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16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top" wrapText="1"/>
    </xf>
    <xf numFmtId="0" fontId="12" fillId="8" borderId="16" xfId="0" applyFont="1" applyFill="1" applyBorder="1" applyAlignment="1">
      <alignment horizontal="center" vertical="top" wrapText="1"/>
    </xf>
    <xf numFmtId="0" fontId="12" fillId="8" borderId="7" xfId="0" applyFont="1" applyFill="1" applyBorder="1" applyAlignment="1">
      <alignment horizontal="center" vertical="top" wrapText="1"/>
    </xf>
    <xf numFmtId="0" fontId="12" fillId="8" borderId="8" xfId="0" applyFont="1" applyFill="1" applyBorder="1" applyAlignment="1">
      <alignment horizontal="center" vertical="top" wrapText="1"/>
    </xf>
    <xf numFmtId="0" fontId="60" fillId="4" borderId="5" xfId="0" applyFont="1" applyFill="1" applyBorder="1" applyAlignment="1">
      <alignment vertical="center" wrapText="1"/>
    </xf>
    <xf numFmtId="0" fontId="60" fillId="4" borderId="6" xfId="0" applyFont="1" applyFill="1" applyBorder="1" applyAlignment="1">
      <alignment vertical="center" wrapText="1"/>
    </xf>
    <xf numFmtId="0" fontId="60" fillId="4" borderId="5" xfId="0" applyFont="1" applyFill="1" applyBorder="1" applyAlignment="1">
      <alignment horizontal="left" vertical="center" wrapText="1"/>
    </xf>
    <xf numFmtId="0" fontId="60" fillId="4" borderId="6" xfId="0" applyFont="1" applyFill="1" applyBorder="1" applyAlignment="1">
      <alignment horizontal="left" vertical="center" wrapText="1"/>
    </xf>
    <xf numFmtId="0" fontId="4" fillId="12" borderId="5" xfId="0" applyFont="1" applyFill="1" applyBorder="1" applyAlignment="1">
      <alignment horizontal="left" vertical="top" wrapText="1"/>
    </xf>
    <xf numFmtId="0" fontId="4" fillId="12" borderId="4" xfId="0" applyFont="1" applyFill="1" applyBorder="1" applyAlignment="1">
      <alignment horizontal="left" vertical="top" wrapText="1"/>
    </xf>
    <xf numFmtId="0" fontId="4" fillId="12" borderId="6" xfId="0" applyFont="1" applyFill="1" applyBorder="1" applyAlignment="1">
      <alignment horizontal="left" vertical="top" wrapText="1"/>
    </xf>
    <xf numFmtId="0" fontId="60" fillId="4" borderId="10" xfId="0" applyFont="1" applyFill="1" applyBorder="1" applyAlignment="1">
      <alignment horizontal="left" vertical="center" wrapText="1"/>
    </xf>
    <xf numFmtId="0" fontId="60" fillId="4" borderId="12" xfId="0" applyFont="1" applyFill="1" applyBorder="1" applyAlignment="1">
      <alignment horizontal="left" vertical="center" wrapText="1"/>
    </xf>
    <xf numFmtId="0" fontId="60" fillId="4" borderId="11" xfId="0" applyFont="1" applyFill="1" applyBorder="1" applyAlignment="1">
      <alignment horizontal="left" vertical="center" wrapText="1"/>
    </xf>
    <xf numFmtId="0" fontId="60" fillId="4" borderId="13" xfId="0" applyFont="1" applyFill="1" applyBorder="1" applyAlignment="1">
      <alignment horizontal="left" vertical="center" wrapText="1"/>
    </xf>
    <xf numFmtId="0" fontId="64" fillId="7" borderId="5" xfId="0" applyFont="1" applyFill="1" applyBorder="1" applyAlignment="1">
      <alignment horizontal="center" vertical="center" wrapText="1"/>
    </xf>
    <xf numFmtId="0" fontId="64" fillId="7" borderId="6" xfId="0" applyFont="1" applyFill="1" applyBorder="1" applyAlignment="1">
      <alignment horizontal="center" vertical="center" wrapText="1"/>
    </xf>
    <xf numFmtId="0" fontId="60" fillId="0" borderId="5" xfId="0" applyFont="1" applyBorder="1" applyAlignment="1">
      <alignment horizontal="center" vertical="center" wrapText="1"/>
    </xf>
    <xf numFmtId="0" fontId="60" fillId="0" borderId="6" xfId="0" applyFont="1" applyBorder="1" applyAlignment="1">
      <alignment horizontal="center" vertical="center" wrapText="1"/>
    </xf>
    <xf numFmtId="17" fontId="60" fillId="0" borderId="5" xfId="0" applyNumberFormat="1" applyFont="1" applyBorder="1" applyAlignment="1">
      <alignment horizontal="center" vertical="center" wrapText="1"/>
    </xf>
    <xf numFmtId="17" fontId="60" fillId="0" borderId="4" xfId="0" applyNumberFormat="1" applyFont="1" applyBorder="1" applyAlignment="1">
      <alignment horizontal="center" vertical="center" wrapText="1"/>
    </xf>
    <xf numFmtId="17" fontId="60" fillId="0" borderId="6" xfId="0" applyNumberFormat="1" applyFont="1" applyBorder="1" applyAlignment="1">
      <alignment horizontal="center" vertical="center" wrapText="1"/>
    </xf>
    <xf numFmtId="0" fontId="60" fillId="0" borderId="4" xfId="0" applyFont="1" applyBorder="1" applyAlignment="1">
      <alignment horizontal="center" vertical="center" wrapText="1"/>
    </xf>
    <xf numFmtId="0" fontId="60" fillId="4" borderId="10" xfId="0" applyFont="1" applyFill="1" applyBorder="1" applyAlignment="1">
      <alignment horizontal="center" vertical="center" wrapText="1"/>
    </xf>
    <xf numFmtId="0" fontId="60" fillId="4" borderId="12" xfId="0" applyFont="1" applyFill="1" applyBorder="1" applyAlignment="1">
      <alignment horizontal="center" vertical="center" wrapText="1"/>
    </xf>
    <xf numFmtId="0" fontId="60" fillId="4" borderId="18" xfId="0" applyFont="1" applyFill="1" applyBorder="1" applyAlignment="1">
      <alignment horizontal="center" vertical="center" wrapText="1"/>
    </xf>
    <xf numFmtId="0" fontId="60" fillId="4" borderId="19" xfId="0" applyFont="1" applyFill="1" applyBorder="1" applyAlignment="1">
      <alignment horizontal="center" vertical="center" wrapText="1"/>
    </xf>
    <xf numFmtId="0" fontId="60" fillId="4" borderId="11" xfId="0" applyFont="1" applyFill="1" applyBorder="1" applyAlignment="1">
      <alignment horizontal="center" vertical="center" wrapText="1"/>
    </xf>
    <xf numFmtId="0" fontId="60" fillId="4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opLeftCell="A10" zoomScale="69" zoomScaleNormal="69" workbookViewId="0">
      <selection activeCell="C11" sqref="C11"/>
    </sheetView>
  </sheetViews>
  <sheetFormatPr baseColWidth="10" defaultRowHeight="15" x14ac:dyDescent="0.25"/>
  <cols>
    <col min="2" max="3" width="33.140625" customWidth="1"/>
    <col min="4" max="4" width="29.42578125" customWidth="1"/>
    <col min="5" max="5" width="35.42578125" customWidth="1"/>
    <col min="6" max="6" width="4.5703125" customWidth="1"/>
    <col min="7" max="7" width="7" customWidth="1"/>
    <col min="8" max="8" width="8.42578125" customWidth="1"/>
    <col min="9" max="9" width="10.140625" customWidth="1"/>
    <col min="10" max="10" width="31.28515625" customWidth="1"/>
    <col min="11" max="11" width="24.140625" customWidth="1"/>
    <col min="12" max="12" width="5.42578125" customWidth="1"/>
    <col min="13" max="13" width="5.85546875" customWidth="1"/>
    <col min="14" max="14" width="6.85546875" customWidth="1"/>
    <col min="15" max="15" width="11.28515625" customWidth="1"/>
    <col min="16" max="16" width="9.28515625" customWidth="1"/>
    <col min="17" max="17" width="9.85546875" customWidth="1"/>
    <col min="18" max="18" width="26.28515625" customWidth="1"/>
    <col min="19" max="19" width="11.85546875" customWidth="1"/>
  </cols>
  <sheetData>
    <row r="1" spans="1:19" ht="81" customHeight="1" x14ac:dyDescent="0.25">
      <c r="B1" s="20" t="s">
        <v>41</v>
      </c>
      <c r="C1" s="174" t="s">
        <v>134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6"/>
      <c r="Q1" s="171" t="s">
        <v>78</v>
      </c>
      <c r="R1" s="172"/>
      <c r="S1" s="173"/>
    </row>
    <row r="2" spans="1:19" ht="52.5" customHeight="1" x14ac:dyDescent="0.35">
      <c r="B2" s="203" t="s">
        <v>79</v>
      </c>
      <c r="C2" s="203"/>
      <c r="D2" s="203"/>
      <c r="E2" s="203"/>
      <c r="F2" s="13"/>
      <c r="G2" s="13"/>
      <c r="H2" s="14"/>
      <c r="I2" s="14"/>
      <c r="J2" s="14"/>
      <c r="K2" s="1"/>
      <c r="L2" s="15"/>
      <c r="M2" s="15"/>
      <c r="N2" s="15"/>
      <c r="O2" s="181" t="s">
        <v>135</v>
      </c>
      <c r="P2" s="181"/>
      <c r="Q2" s="181"/>
      <c r="R2" s="181"/>
      <c r="S2" s="181"/>
    </row>
    <row r="3" spans="1:19" ht="37.5" customHeight="1" x14ac:dyDescent="0.25">
      <c r="B3" s="204"/>
      <c r="C3" s="205"/>
      <c r="D3" s="205"/>
      <c r="E3" s="205"/>
      <c r="F3" s="206" t="s">
        <v>8</v>
      </c>
      <c r="G3" s="207"/>
      <c r="H3" s="207"/>
      <c r="I3" s="207"/>
      <c r="J3" s="207"/>
      <c r="K3" s="208"/>
      <c r="L3" s="197" t="s">
        <v>9</v>
      </c>
      <c r="M3" s="198"/>
      <c r="N3" s="198"/>
      <c r="O3" s="198"/>
      <c r="P3" s="198"/>
      <c r="Q3" s="198"/>
      <c r="R3" s="198"/>
      <c r="S3" s="199"/>
    </row>
    <row r="4" spans="1:19" ht="46.5" customHeight="1" x14ac:dyDescent="0.25">
      <c r="A4" s="180" t="s">
        <v>44</v>
      </c>
      <c r="B4" s="180"/>
      <c r="C4" s="180" t="s">
        <v>0</v>
      </c>
      <c r="D4" s="180" t="s">
        <v>26</v>
      </c>
      <c r="E4" s="180" t="s">
        <v>23</v>
      </c>
      <c r="F4" s="180" t="s">
        <v>10</v>
      </c>
      <c r="G4" s="180"/>
      <c r="H4" s="180"/>
      <c r="I4" s="180"/>
      <c r="J4" s="214" t="s">
        <v>1</v>
      </c>
      <c r="K4" s="180" t="s">
        <v>2</v>
      </c>
      <c r="L4" s="185" t="s">
        <v>34</v>
      </c>
      <c r="M4" s="186"/>
      <c r="N4" s="186"/>
      <c r="O4" s="187"/>
      <c r="P4" s="194" t="s">
        <v>7</v>
      </c>
      <c r="Q4" s="195"/>
      <c r="R4" s="195"/>
      <c r="S4" s="196"/>
    </row>
    <row r="5" spans="1:19" ht="48" customHeight="1" x14ac:dyDescent="0.25">
      <c r="A5" s="180"/>
      <c r="B5" s="180"/>
      <c r="C5" s="180"/>
      <c r="D5" s="180"/>
      <c r="E5" s="180"/>
      <c r="F5" s="21" t="s">
        <v>3</v>
      </c>
      <c r="G5" s="21" t="s">
        <v>4</v>
      </c>
      <c r="H5" s="21" t="s">
        <v>5</v>
      </c>
      <c r="I5" s="21" t="s">
        <v>6</v>
      </c>
      <c r="J5" s="215"/>
      <c r="K5" s="180"/>
      <c r="L5" s="188"/>
      <c r="M5" s="189"/>
      <c r="N5" s="189"/>
      <c r="O5" s="190"/>
      <c r="P5" s="21" t="s">
        <v>25</v>
      </c>
      <c r="Q5" s="21" t="s">
        <v>11</v>
      </c>
      <c r="R5" s="21" t="s">
        <v>42</v>
      </c>
      <c r="S5" s="21" t="s">
        <v>43</v>
      </c>
    </row>
    <row r="6" spans="1:19" ht="118.5" customHeight="1" x14ac:dyDescent="0.25">
      <c r="A6" s="200" t="s">
        <v>45</v>
      </c>
      <c r="B6" s="18" t="s">
        <v>46</v>
      </c>
      <c r="C6" s="3" t="s">
        <v>12</v>
      </c>
      <c r="D6" s="3" t="s">
        <v>21</v>
      </c>
      <c r="E6" s="3" t="s">
        <v>35</v>
      </c>
      <c r="F6" s="4">
        <v>2</v>
      </c>
      <c r="G6" s="4">
        <v>3</v>
      </c>
      <c r="H6" s="4">
        <v>2</v>
      </c>
      <c r="I6" s="5">
        <f>F6*G6*H6</f>
        <v>12</v>
      </c>
      <c r="J6" s="6" t="s">
        <v>36</v>
      </c>
      <c r="K6" s="7" t="s">
        <v>56</v>
      </c>
      <c r="L6" s="182" t="s">
        <v>66</v>
      </c>
      <c r="M6" s="183"/>
      <c r="N6" s="183"/>
      <c r="O6" s="184"/>
      <c r="P6" s="34" t="s">
        <v>76</v>
      </c>
      <c r="Q6" s="8"/>
      <c r="R6" s="37">
        <v>43428</v>
      </c>
      <c r="S6" s="38" t="s">
        <v>77</v>
      </c>
    </row>
    <row r="7" spans="1:19" ht="93" customHeight="1" x14ac:dyDescent="0.25">
      <c r="A7" s="201"/>
      <c r="B7" s="2" t="s">
        <v>47</v>
      </c>
      <c r="C7" s="10" t="s">
        <v>13</v>
      </c>
      <c r="D7" s="3" t="s">
        <v>21</v>
      </c>
      <c r="E7" s="3" t="s">
        <v>27</v>
      </c>
      <c r="F7" s="4">
        <v>2</v>
      </c>
      <c r="G7" s="4">
        <v>3</v>
      </c>
      <c r="H7" s="4">
        <v>2</v>
      </c>
      <c r="I7" s="5">
        <f t="shared" ref="I7:I11" si="0">F7*G7*H7</f>
        <v>12</v>
      </c>
      <c r="J7" s="17" t="s">
        <v>37</v>
      </c>
      <c r="K7" s="209" t="s">
        <v>55</v>
      </c>
      <c r="L7" s="182" t="s">
        <v>31</v>
      </c>
      <c r="M7" s="183"/>
      <c r="N7" s="183"/>
      <c r="O7" s="184"/>
      <c r="P7" s="34" t="s">
        <v>76</v>
      </c>
      <c r="Q7" s="11"/>
      <c r="R7" s="37">
        <v>43428</v>
      </c>
      <c r="S7" s="38" t="s">
        <v>77</v>
      </c>
    </row>
    <row r="8" spans="1:19" ht="79.5" customHeight="1" x14ac:dyDescent="0.25">
      <c r="A8" s="201"/>
      <c r="B8" s="191" t="s">
        <v>48</v>
      </c>
      <c r="C8" s="10" t="s">
        <v>14</v>
      </c>
      <c r="D8" s="10" t="s">
        <v>22</v>
      </c>
      <c r="E8" s="10" t="s">
        <v>28</v>
      </c>
      <c r="F8" s="4">
        <v>3</v>
      </c>
      <c r="G8" s="4">
        <v>2</v>
      </c>
      <c r="H8" s="4">
        <v>2</v>
      </c>
      <c r="I8" s="5">
        <f t="shared" si="0"/>
        <v>12</v>
      </c>
      <c r="J8" s="16" t="s">
        <v>38</v>
      </c>
      <c r="K8" s="210"/>
      <c r="L8" s="182" t="s">
        <v>67</v>
      </c>
      <c r="M8" s="183"/>
      <c r="N8" s="183"/>
      <c r="O8" s="184"/>
      <c r="P8" s="34" t="s">
        <v>76</v>
      </c>
      <c r="Q8" s="11"/>
      <c r="R8" s="37">
        <v>43428</v>
      </c>
      <c r="S8" s="38" t="s">
        <v>77</v>
      </c>
    </row>
    <row r="9" spans="1:19" ht="101.25" customHeight="1" x14ac:dyDescent="0.25">
      <c r="A9" s="201"/>
      <c r="B9" s="192"/>
      <c r="C9" s="10" t="s">
        <v>15</v>
      </c>
      <c r="D9" s="10" t="s">
        <v>39</v>
      </c>
      <c r="E9" s="10" t="s">
        <v>29</v>
      </c>
      <c r="F9" s="4">
        <v>3</v>
      </c>
      <c r="G9" s="4">
        <v>3</v>
      </c>
      <c r="H9" s="4">
        <v>2</v>
      </c>
      <c r="I9" s="5">
        <f t="shared" si="0"/>
        <v>18</v>
      </c>
      <c r="J9" s="31" t="s">
        <v>40</v>
      </c>
      <c r="K9" s="7" t="s">
        <v>54</v>
      </c>
      <c r="L9" s="182" t="s">
        <v>68</v>
      </c>
      <c r="M9" s="183"/>
      <c r="N9" s="183"/>
      <c r="O9" s="184"/>
      <c r="P9" s="34" t="s">
        <v>76</v>
      </c>
      <c r="Q9" s="11"/>
      <c r="R9" s="37">
        <v>43428</v>
      </c>
      <c r="S9" s="38" t="s">
        <v>77</v>
      </c>
    </row>
    <row r="10" spans="1:19" ht="101.25" customHeight="1" x14ac:dyDescent="0.25">
      <c r="A10" s="201"/>
      <c r="B10" s="193"/>
      <c r="C10" s="10" t="s">
        <v>50</v>
      </c>
      <c r="D10" s="10" t="s">
        <v>51</v>
      </c>
      <c r="E10" s="10" t="s">
        <v>52</v>
      </c>
      <c r="F10" s="4">
        <v>3</v>
      </c>
      <c r="G10" s="4">
        <v>3</v>
      </c>
      <c r="H10" s="4">
        <v>2</v>
      </c>
      <c r="I10" s="5">
        <f t="shared" si="0"/>
        <v>18</v>
      </c>
      <c r="J10" s="32" t="s">
        <v>58</v>
      </c>
      <c r="K10" s="7" t="s">
        <v>53</v>
      </c>
      <c r="L10" s="182" t="s">
        <v>69</v>
      </c>
      <c r="M10" s="183"/>
      <c r="N10" s="183"/>
      <c r="O10" s="184"/>
      <c r="P10" s="34" t="s">
        <v>76</v>
      </c>
      <c r="Q10" s="11"/>
      <c r="R10" s="37">
        <v>43428</v>
      </c>
      <c r="S10" s="38" t="s">
        <v>77</v>
      </c>
    </row>
    <row r="11" spans="1:19" ht="150" x14ac:dyDescent="0.25">
      <c r="A11" s="202"/>
      <c r="B11" s="2" t="s">
        <v>49</v>
      </c>
      <c r="C11" s="25" t="s">
        <v>16</v>
      </c>
      <c r="D11" s="23" t="s">
        <v>32</v>
      </c>
      <c r="E11" s="23" t="s">
        <v>57</v>
      </c>
      <c r="F11" s="4">
        <v>2</v>
      </c>
      <c r="G11" s="4">
        <v>3</v>
      </c>
      <c r="H11" s="4">
        <v>2</v>
      </c>
      <c r="I11" s="5">
        <f t="shared" si="0"/>
        <v>12</v>
      </c>
      <c r="J11" s="24" t="s">
        <v>81</v>
      </c>
      <c r="K11" s="7" t="s">
        <v>30</v>
      </c>
      <c r="L11" s="216" t="s">
        <v>70</v>
      </c>
      <c r="M11" s="217"/>
      <c r="N11" s="217"/>
      <c r="O11" s="218"/>
      <c r="P11" s="11"/>
      <c r="Q11" s="11"/>
      <c r="R11" s="9" t="s">
        <v>82</v>
      </c>
      <c r="S11" s="9"/>
    </row>
    <row r="14" spans="1:19" ht="38.25" customHeight="1" x14ac:dyDescent="0.25">
      <c r="B14" s="163" t="s">
        <v>17</v>
      </c>
      <c r="C14" s="164" t="s">
        <v>24</v>
      </c>
      <c r="D14" s="166" t="s">
        <v>71</v>
      </c>
      <c r="E14" s="167"/>
      <c r="F14" s="177" t="s">
        <v>8</v>
      </c>
      <c r="G14" s="178"/>
      <c r="H14" s="178"/>
      <c r="I14" s="178"/>
      <c r="J14" s="178"/>
      <c r="K14" s="178"/>
      <c r="L14" s="185" t="s">
        <v>34</v>
      </c>
      <c r="M14" s="186"/>
      <c r="N14" s="186"/>
      <c r="O14" s="187"/>
      <c r="P14" s="194" t="s">
        <v>7</v>
      </c>
      <c r="Q14" s="195"/>
      <c r="R14" s="195"/>
      <c r="S14" s="196"/>
    </row>
    <row r="15" spans="1:19" ht="38.25" customHeight="1" x14ac:dyDescent="0.25">
      <c r="B15" s="163"/>
      <c r="C15" s="165"/>
      <c r="D15" s="19" t="s">
        <v>19</v>
      </c>
      <c r="E15" s="19" t="s">
        <v>20</v>
      </c>
      <c r="F15" s="179" t="s">
        <v>18</v>
      </c>
      <c r="G15" s="179"/>
      <c r="H15" s="179"/>
      <c r="I15" s="179"/>
      <c r="J15" s="179"/>
      <c r="K15" s="19" t="s">
        <v>2</v>
      </c>
      <c r="L15" s="188"/>
      <c r="M15" s="189"/>
      <c r="N15" s="189"/>
      <c r="O15" s="190"/>
      <c r="P15" s="27" t="s">
        <v>25</v>
      </c>
      <c r="Q15" s="27" t="s">
        <v>11</v>
      </c>
      <c r="R15" s="27" t="s">
        <v>42</v>
      </c>
      <c r="S15" s="27" t="s">
        <v>43</v>
      </c>
    </row>
    <row r="16" spans="1:19" ht="73.5" customHeight="1" x14ac:dyDescent="0.25">
      <c r="B16" s="28" t="s">
        <v>33</v>
      </c>
      <c r="C16" s="22" t="s">
        <v>59</v>
      </c>
      <c r="D16" s="29" t="s">
        <v>72</v>
      </c>
      <c r="E16" s="22"/>
      <c r="F16" s="168" t="s">
        <v>61</v>
      </c>
      <c r="G16" s="169"/>
      <c r="H16" s="169"/>
      <c r="I16" s="169"/>
      <c r="J16" s="170"/>
      <c r="K16" s="25" t="s">
        <v>60</v>
      </c>
      <c r="L16" s="211" t="s">
        <v>74</v>
      </c>
      <c r="M16" s="212"/>
      <c r="N16" s="212"/>
      <c r="O16" s="213"/>
      <c r="P16" s="30"/>
      <c r="Q16" s="30"/>
      <c r="R16" s="36" t="s">
        <v>83</v>
      </c>
      <c r="S16" s="30"/>
    </row>
    <row r="17" spans="2:19" ht="73.5" customHeight="1" x14ac:dyDescent="0.25">
      <c r="B17" s="28" t="s">
        <v>63</v>
      </c>
      <c r="C17" s="22" t="s">
        <v>64</v>
      </c>
      <c r="D17" s="29" t="s">
        <v>72</v>
      </c>
      <c r="E17" s="22"/>
      <c r="F17" s="168" t="s">
        <v>65</v>
      </c>
      <c r="G17" s="169"/>
      <c r="H17" s="169"/>
      <c r="I17" s="169"/>
      <c r="J17" s="170"/>
      <c r="K17" s="25" t="s">
        <v>73</v>
      </c>
      <c r="L17" s="211" t="s">
        <v>75</v>
      </c>
      <c r="M17" s="212"/>
      <c r="N17" s="212"/>
      <c r="O17" s="213"/>
      <c r="P17" s="30" t="s">
        <v>76</v>
      </c>
      <c r="Q17" s="30"/>
      <c r="R17" s="35">
        <v>43433</v>
      </c>
      <c r="S17" s="36" t="s">
        <v>77</v>
      </c>
    </row>
    <row r="22" spans="2:19" ht="30" x14ac:dyDescent="0.25">
      <c r="B22" s="26" t="s">
        <v>62</v>
      </c>
    </row>
  </sheetData>
  <mergeCells count="35">
    <mergeCell ref="L17:O17"/>
    <mergeCell ref="J4:J5"/>
    <mergeCell ref="P14:S14"/>
    <mergeCell ref="L14:O15"/>
    <mergeCell ref="L16:O16"/>
    <mergeCell ref="L11:O11"/>
    <mergeCell ref="K4:K5"/>
    <mergeCell ref="L9:O9"/>
    <mergeCell ref="A4:B5"/>
    <mergeCell ref="A6:A11"/>
    <mergeCell ref="B2:E3"/>
    <mergeCell ref="F3:K3"/>
    <mergeCell ref="K7:K8"/>
    <mergeCell ref="L3:S3"/>
    <mergeCell ref="D4:D5"/>
    <mergeCell ref="L6:O6"/>
    <mergeCell ref="L7:O7"/>
    <mergeCell ref="L8:O8"/>
    <mergeCell ref="F4:I4"/>
    <mergeCell ref="B14:B15"/>
    <mergeCell ref="C14:C15"/>
    <mergeCell ref="D14:E14"/>
    <mergeCell ref="F17:J17"/>
    <mergeCell ref="Q1:S1"/>
    <mergeCell ref="C1:P1"/>
    <mergeCell ref="F16:J16"/>
    <mergeCell ref="F14:K14"/>
    <mergeCell ref="F15:J15"/>
    <mergeCell ref="E4:E5"/>
    <mergeCell ref="O2:S2"/>
    <mergeCell ref="L10:O10"/>
    <mergeCell ref="C4:C5"/>
    <mergeCell ref="L4:O5"/>
    <mergeCell ref="B8:B10"/>
    <mergeCell ref="P4:S4"/>
  </mergeCells>
  <conditionalFormatting sqref="I6:I11">
    <cfRule type="colorScale" priority="1">
      <colorScale>
        <cfvo type="num" val="16"/>
        <cfvo type="num" val="16"/>
        <color rgb="FF00FF00"/>
        <color rgb="FFFFFF00"/>
      </colorScale>
    </cfRule>
    <cfRule type="cellIs" dxfId="3" priority="2" operator="lessThan">
      <formula>33</formula>
    </cfRule>
    <cfRule type="cellIs" dxfId="2" priority="3" operator="lessThan">
      <formula>17</formula>
    </cfRule>
  </conditionalFormatting>
  <pageMargins left="0.70866141732283472" right="0.70866141732283472" top="0.74803149606299213" bottom="0.74803149606299213" header="0.31496062992125984" footer="0.31496062992125984"/>
  <pageSetup paperSize="9" scale="38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1"/>
  <sheetViews>
    <sheetView view="pageBreakPreview" zoomScale="60" zoomScaleNormal="100" workbookViewId="0">
      <selection activeCell="B7" sqref="B7"/>
    </sheetView>
  </sheetViews>
  <sheetFormatPr baseColWidth="10" defaultRowHeight="15" x14ac:dyDescent="0.25"/>
  <cols>
    <col min="2" max="2" width="42.28515625" customWidth="1"/>
    <col min="3" max="3" width="25" customWidth="1"/>
    <col min="4" max="4" width="24.7109375" customWidth="1"/>
    <col min="5" max="5" width="35.140625" customWidth="1"/>
    <col min="6" max="9" width="11.5703125" bestFit="1" customWidth="1"/>
    <col min="10" max="10" width="41.5703125" customWidth="1"/>
    <col min="11" max="11" width="25.42578125" customWidth="1"/>
    <col min="15" max="15" width="17.28515625" customWidth="1"/>
    <col min="16" max="16" width="9.85546875" customWidth="1"/>
    <col min="18" max="18" width="24" customWidth="1"/>
  </cols>
  <sheetData>
    <row r="1" spans="1:19" ht="112.5" customHeight="1" x14ac:dyDescent="0.25">
      <c r="B1" s="20" t="s">
        <v>41</v>
      </c>
      <c r="C1" s="174" t="s">
        <v>136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6"/>
      <c r="Q1" s="171" t="s">
        <v>78</v>
      </c>
      <c r="R1" s="172"/>
      <c r="S1" s="173"/>
    </row>
    <row r="2" spans="1:19" ht="21" x14ac:dyDescent="0.35">
      <c r="B2" s="203" t="s">
        <v>79</v>
      </c>
      <c r="C2" s="203"/>
      <c r="D2" s="203"/>
      <c r="E2" s="203"/>
      <c r="F2" s="13"/>
      <c r="G2" s="13"/>
      <c r="H2" s="14"/>
      <c r="I2" s="14"/>
      <c r="J2" s="14"/>
      <c r="K2" s="1"/>
      <c r="L2" s="15"/>
      <c r="M2" s="15"/>
      <c r="N2" s="15"/>
      <c r="O2" s="181" t="s">
        <v>135</v>
      </c>
      <c r="P2" s="181"/>
      <c r="Q2" s="181"/>
      <c r="R2" s="181"/>
      <c r="S2" s="181"/>
    </row>
    <row r="3" spans="1:19" ht="30.75" customHeight="1" x14ac:dyDescent="0.25">
      <c r="B3" s="204"/>
      <c r="C3" s="205"/>
      <c r="D3" s="205"/>
      <c r="E3" s="205"/>
      <c r="F3" s="206" t="s">
        <v>8</v>
      </c>
      <c r="G3" s="207"/>
      <c r="H3" s="207"/>
      <c r="I3" s="207"/>
      <c r="J3" s="207"/>
      <c r="K3" s="208"/>
      <c r="L3" s="197" t="s">
        <v>9</v>
      </c>
      <c r="M3" s="198"/>
      <c r="N3" s="198"/>
      <c r="O3" s="198"/>
      <c r="P3" s="198"/>
      <c r="Q3" s="198"/>
      <c r="R3" s="198"/>
      <c r="S3" s="199"/>
    </row>
    <row r="4" spans="1:19" ht="15.75" x14ac:dyDescent="0.25">
      <c r="A4" s="180" t="s">
        <v>44</v>
      </c>
      <c r="B4" s="180"/>
      <c r="C4" s="180" t="s">
        <v>0</v>
      </c>
      <c r="D4" s="180" t="s">
        <v>26</v>
      </c>
      <c r="E4" s="180" t="s">
        <v>23</v>
      </c>
      <c r="F4" s="180" t="s">
        <v>10</v>
      </c>
      <c r="G4" s="180"/>
      <c r="H4" s="180"/>
      <c r="I4" s="180"/>
      <c r="J4" s="214" t="s">
        <v>1</v>
      </c>
      <c r="K4" s="180" t="s">
        <v>2</v>
      </c>
      <c r="L4" s="185" t="s">
        <v>34</v>
      </c>
      <c r="M4" s="186"/>
      <c r="N4" s="186"/>
      <c r="O4" s="187"/>
      <c r="P4" s="194" t="s">
        <v>7</v>
      </c>
      <c r="Q4" s="195"/>
      <c r="R4" s="195"/>
      <c r="S4" s="196"/>
    </row>
    <row r="5" spans="1:19" ht="78.75" customHeight="1" x14ac:dyDescent="0.25">
      <c r="A5" s="180"/>
      <c r="B5" s="180"/>
      <c r="C5" s="180"/>
      <c r="D5" s="180"/>
      <c r="E5" s="180"/>
      <c r="F5" s="33" t="s">
        <v>3</v>
      </c>
      <c r="G5" s="33" t="s">
        <v>4</v>
      </c>
      <c r="H5" s="33" t="s">
        <v>5</v>
      </c>
      <c r="I5" s="33" t="s">
        <v>6</v>
      </c>
      <c r="J5" s="215"/>
      <c r="K5" s="180"/>
      <c r="L5" s="188"/>
      <c r="M5" s="189"/>
      <c r="N5" s="189"/>
      <c r="O5" s="190"/>
      <c r="P5" s="33" t="s">
        <v>25</v>
      </c>
      <c r="Q5" s="33" t="s">
        <v>11</v>
      </c>
      <c r="R5" s="33" t="s">
        <v>42</v>
      </c>
      <c r="S5" s="33" t="s">
        <v>43</v>
      </c>
    </row>
    <row r="6" spans="1:19" ht="162.75" customHeight="1" x14ac:dyDescent="0.25">
      <c r="A6" s="39" t="s">
        <v>80</v>
      </c>
      <c r="B6" s="2" t="s">
        <v>49</v>
      </c>
      <c r="C6" s="12" t="s">
        <v>16</v>
      </c>
      <c r="D6" s="23" t="s">
        <v>32</v>
      </c>
      <c r="E6" s="23" t="s">
        <v>57</v>
      </c>
      <c r="F6" s="4">
        <v>2</v>
      </c>
      <c r="G6" s="4">
        <v>3</v>
      </c>
      <c r="H6" s="4">
        <v>2</v>
      </c>
      <c r="I6" s="5">
        <f t="shared" ref="I6" si="0">F6*G6*H6</f>
        <v>12</v>
      </c>
      <c r="J6" s="91" t="s">
        <v>90</v>
      </c>
      <c r="K6" s="7" t="s">
        <v>30</v>
      </c>
      <c r="L6" s="216" t="s">
        <v>70</v>
      </c>
      <c r="M6" s="217"/>
      <c r="N6" s="217"/>
      <c r="O6" s="218"/>
      <c r="P6" s="11" t="s">
        <v>76</v>
      </c>
      <c r="Q6" s="11"/>
      <c r="R6" s="41">
        <v>43817</v>
      </c>
      <c r="S6" s="9" t="s">
        <v>77</v>
      </c>
    </row>
    <row r="7" spans="1:19" ht="150" customHeight="1" x14ac:dyDescent="0.25">
      <c r="A7" s="39" t="s">
        <v>84</v>
      </c>
      <c r="B7" s="2" t="s">
        <v>88</v>
      </c>
      <c r="C7" s="12" t="s">
        <v>85</v>
      </c>
      <c r="D7" s="23" t="s">
        <v>87</v>
      </c>
      <c r="E7" s="23" t="s">
        <v>86</v>
      </c>
      <c r="F7" s="4">
        <v>3</v>
      </c>
      <c r="G7" s="4">
        <v>3</v>
      </c>
      <c r="H7" s="4">
        <v>2</v>
      </c>
      <c r="I7" s="5">
        <f t="shared" ref="I7" si="1">F7*G7*H7</f>
        <v>18</v>
      </c>
      <c r="J7" s="91" t="s">
        <v>91</v>
      </c>
      <c r="K7" s="7" t="s">
        <v>89</v>
      </c>
      <c r="L7" s="182" t="s">
        <v>92</v>
      </c>
      <c r="M7" s="183"/>
      <c r="N7" s="183"/>
      <c r="O7" s="184"/>
      <c r="P7" s="11"/>
      <c r="Q7" s="11"/>
      <c r="R7" s="9" t="s">
        <v>96</v>
      </c>
      <c r="S7" s="9"/>
    </row>
    <row r="8" spans="1:19" ht="36" customHeight="1" x14ac:dyDescent="0.25"/>
    <row r="9" spans="1:19" ht="19.5" x14ac:dyDescent="0.25">
      <c r="B9" s="163" t="s">
        <v>17</v>
      </c>
      <c r="C9" s="164" t="s">
        <v>24</v>
      </c>
      <c r="D9" s="166" t="s">
        <v>71</v>
      </c>
      <c r="E9" s="167"/>
      <c r="F9" s="177" t="s">
        <v>8</v>
      </c>
      <c r="G9" s="178"/>
      <c r="H9" s="178"/>
      <c r="I9" s="178"/>
      <c r="J9" s="178"/>
      <c r="K9" s="178"/>
      <c r="L9" s="185" t="s">
        <v>34</v>
      </c>
      <c r="M9" s="186"/>
      <c r="N9" s="186"/>
      <c r="O9" s="187"/>
      <c r="P9" s="194" t="s">
        <v>7</v>
      </c>
      <c r="Q9" s="195"/>
      <c r="R9" s="195"/>
      <c r="S9" s="196"/>
    </row>
    <row r="10" spans="1:19" ht="47.25" customHeight="1" x14ac:dyDescent="0.25">
      <c r="B10" s="163"/>
      <c r="C10" s="165"/>
      <c r="D10" s="19" t="s">
        <v>19</v>
      </c>
      <c r="E10" s="19" t="s">
        <v>20</v>
      </c>
      <c r="F10" s="179" t="s">
        <v>18</v>
      </c>
      <c r="G10" s="179"/>
      <c r="H10" s="179"/>
      <c r="I10" s="179"/>
      <c r="J10" s="179"/>
      <c r="K10" s="19" t="s">
        <v>2</v>
      </c>
      <c r="L10" s="188"/>
      <c r="M10" s="189"/>
      <c r="N10" s="189"/>
      <c r="O10" s="190"/>
      <c r="P10" s="33" t="s">
        <v>25</v>
      </c>
      <c r="Q10" s="33" t="s">
        <v>11</v>
      </c>
      <c r="R10" s="33" t="s">
        <v>42</v>
      </c>
      <c r="S10" s="33" t="s">
        <v>43</v>
      </c>
    </row>
    <row r="11" spans="1:19" ht="89.25" customHeight="1" x14ac:dyDescent="0.25">
      <c r="B11" s="28" t="s">
        <v>33</v>
      </c>
      <c r="C11" s="22" t="s">
        <v>59</v>
      </c>
      <c r="D11" s="29" t="s">
        <v>72</v>
      </c>
      <c r="E11" s="22"/>
      <c r="F11" s="168" t="s">
        <v>61</v>
      </c>
      <c r="G11" s="169"/>
      <c r="H11" s="169"/>
      <c r="I11" s="169"/>
      <c r="J11" s="170"/>
      <c r="K11" s="25" t="s">
        <v>60</v>
      </c>
      <c r="L11" s="219" t="s">
        <v>74</v>
      </c>
      <c r="M11" s="220"/>
      <c r="N11" s="220"/>
      <c r="O11" s="221"/>
      <c r="P11" s="30" t="s">
        <v>76</v>
      </c>
      <c r="Q11" s="30"/>
      <c r="R11" s="40">
        <v>43817</v>
      </c>
      <c r="S11" s="30" t="s">
        <v>77</v>
      </c>
    </row>
  </sheetData>
  <mergeCells count="26">
    <mergeCell ref="C1:P1"/>
    <mergeCell ref="Q1:S1"/>
    <mergeCell ref="B2:E3"/>
    <mergeCell ref="O2:S2"/>
    <mergeCell ref="F3:K3"/>
    <mergeCell ref="L3:S3"/>
    <mergeCell ref="K4:K5"/>
    <mergeCell ref="L4:O5"/>
    <mergeCell ref="P4:S4"/>
    <mergeCell ref="A4:B5"/>
    <mergeCell ref="C4:C5"/>
    <mergeCell ref="D4:D5"/>
    <mergeCell ref="E4:E5"/>
    <mergeCell ref="F4:I4"/>
    <mergeCell ref="J4:J5"/>
    <mergeCell ref="B9:B10"/>
    <mergeCell ref="C9:C10"/>
    <mergeCell ref="D9:E9"/>
    <mergeCell ref="F9:K9"/>
    <mergeCell ref="L9:O10"/>
    <mergeCell ref="P9:S9"/>
    <mergeCell ref="F10:J10"/>
    <mergeCell ref="F11:J11"/>
    <mergeCell ref="L11:O11"/>
    <mergeCell ref="L6:O6"/>
    <mergeCell ref="L7:O7"/>
  </mergeCells>
  <conditionalFormatting sqref="I6:I7">
    <cfRule type="colorScale" priority="1">
      <colorScale>
        <cfvo type="num" val="16"/>
        <cfvo type="num" val="16"/>
        <color rgb="FF00FF00"/>
        <color rgb="FFFFFF00"/>
      </colorScale>
    </cfRule>
    <cfRule type="cellIs" dxfId="1" priority="2" operator="lessThan">
      <formula>33</formula>
    </cfRule>
    <cfRule type="cellIs" dxfId="0" priority="3" operator="lessThan">
      <formula>17</formula>
    </cfRule>
  </conditionalFormatting>
  <pageMargins left="0.70866141732283472" right="0.70866141732283472" top="0.74803149606299213" bottom="0.74803149606299213" header="0.31496062992125984" footer="0.31496062992125984"/>
  <pageSetup paperSize="9" scale="36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5"/>
  <sheetViews>
    <sheetView topLeftCell="A4" zoomScaleNormal="100" workbookViewId="0">
      <selection activeCell="C8" sqref="C8:D8"/>
    </sheetView>
  </sheetViews>
  <sheetFormatPr baseColWidth="10" defaultRowHeight="15" x14ac:dyDescent="0.25"/>
  <cols>
    <col min="2" max="2" width="14.85546875" customWidth="1"/>
    <col min="3" max="3" width="19.85546875" customWidth="1"/>
    <col min="4" max="4" width="13" customWidth="1"/>
    <col min="5" max="5" width="14.42578125" customWidth="1"/>
    <col min="8" max="8" width="20.5703125" customWidth="1"/>
    <col min="9" max="9" width="15.42578125" customWidth="1"/>
    <col min="10" max="10" width="18.140625" customWidth="1"/>
    <col min="12" max="12" width="14" customWidth="1"/>
    <col min="14" max="14" width="27" customWidth="1"/>
    <col min="15" max="15" width="15.7109375" customWidth="1"/>
  </cols>
  <sheetData>
    <row r="2" spans="1:23" ht="68.25" customHeight="1" x14ac:dyDescent="0.25">
      <c r="A2" s="43"/>
      <c r="B2" s="222" t="s">
        <v>97</v>
      </c>
      <c r="C2" s="222"/>
      <c r="D2" s="222"/>
      <c r="E2" s="223" t="s">
        <v>137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5"/>
      <c r="U2" s="226" t="s">
        <v>98</v>
      </c>
      <c r="V2" s="227"/>
      <c r="W2" s="228"/>
    </row>
    <row r="3" spans="1:23" ht="25.5" customHeight="1" x14ac:dyDescent="0.25">
      <c r="A3" s="43"/>
      <c r="B3" s="44" t="s">
        <v>112</v>
      </c>
      <c r="C3" s="44" t="s">
        <v>113</v>
      </c>
      <c r="D3" s="44"/>
      <c r="E3" s="44"/>
      <c r="F3" s="44"/>
      <c r="G3" s="44"/>
      <c r="H3" s="44"/>
      <c r="I3" s="44"/>
      <c r="J3" s="44"/>
      <c r="K3" s="44"/>
      <c r="L3" s="44"/>
      <c r="M3" s="44"/>
      <c r="N3" s="45"/>
      <c r="O3" s="46"/>
      <c r="P3" s="47"/>
      <c r="Q3" s="47"/>
      <c r="R3" s="47"/>
      <c r="S3" s="229" t="s">
        <v>141</v>
      </c>
      <c r="T3" s="229"/>
      <c r="U3" s="229"/>
      <c r="V3" s="229"/>
      <c r="W3" s="229"/>
    </row>
    <row r="4" spans="1:23" ht="30" customHeight="1" x14ac:dyDescent="0.25">
      <c r="A4" s="43"/>
      <c r="B4" s="230" t="s">
        <v>114</v>
      </c>
      <c r="C4" s="230"/>
      <c r="D4" s="231"/>
      <c r="E4" s="48"/>
      <c r="F4" s="48"/>
      <c r="G4" s="48"/>
      <c r="H4" s="48"/>
      <c r="I4" s="48"/>
      <c r="J4" s="48"/>
      <c r="K4" s="48"/>
      <c r="L4" s="48"/>
      <c r="M4" s="48"/>
      <c r="N4" s="232" t="s">
        <v>8</v>
      </c>
      <c r="O4" s="233"/>
      <c r="P4" s="234" t="s">
        <v>9</v>
      </c>
      <c r="Q4" s="235"/>
      <c r="R4" s="235"/>
      <c r="S4" s="235"/>
      <c r="T4" s="235"/>
      <c r="U4" s="235"/>
      <c r="V4" s="235"/>
      <c r="W4" s="236"/>
    </row>
    <row r="5" spans="1:23" ht="25.5" x14ac:dyDescent="0.25">
      <c r="A5" s="240" t="s">
        <v>99</v>
      </c>
      <c r="B5" s="240"/>
      <c r="C5" s="241" t="s">
        <v>0</v>
      </c>
      <c r="D5" s="242"/>
      <c r="E5" s="237" t="s">
        <v>23</v>
      </c>
      <c r="F5" s="239"/>
      <c r="G5" s="245" t="s">
        <v>100</v>
      </c>
      <c r="H5" s="240" t="s">
        <v>138</v>
      </c>
      <c r="I5" s="247" t="s">
        <v>101</v>
      </c>
      <c r="J5" s="237" t="s">
        <v>102</v>
      </c>
      <c r="K5" s="239"/>
      <c r="L5" s="245" t="s">
        <v>103</v>
      </c>
      <c r="M5" s="49" t="s">
        <v>104</v>
      </c>
      <c r="N5" s="245" t="s">
        <v>1</v>
      </c>
      <c r="O5" s="240" t="s">
        <v>2</v>
      </c>
      <c r="P5" s="241" t="s">
        <v>105</v>
      </c>
      <c r="Q5" s="250"/>
      <c r="R5" s="250"/>
      <c r="S5" s="242"/>
      <c r="T5" s="237" t="s">
        <v>7</v>
      </c>
      <c r="U5" s="238"/>
      <c r="V5" s="238"/>
      <c r="W5" s="239"/>
    </row>
    <row r="6" spans="1:23" ht="48" customHeight="1" x14ac:dyDescent="0.25">
      <c r="A6" s="240"/>
      <c r="B6" s="240"/>
      <c r="C6" s="243"/>
      <c r="D6" s="244"/>
      <c r="E6" s="50" t="s">
        <v>106</v>
      </c>
      <c r="F6" s="50" t="s">
        <v>107</v>
      </c>
      <c r="G6" s="246"/>
      <c r="H6" s="240"/>
      <c r="I6" s="248"/>
      <c r="J6" s="51" t="s">
        <v>108</v>
      </c>
      <c r="K6" s="51" t="s">
        <v>109</v>
      </c>
      <c r="L6" s="246"/>
      <c r="M6" s="52" t="s">
        <v>6</v>
      </c>
      <c r="N6" s="249"/>
      <c r="O6" s="245"/>
      <c r="P6" s="243"/>
      <c r="Q6" s="251"/>
      <c r="R6" s="251"/>
      <c r="S6" s="244"/>
      <c r="T6" s="49" t="s">
        <v>19</v>
      </c>
      <c r="U6" s="49" t="s">
        <v>20</v>
      </c>
      <c r="V6" s="49" t="s">
        <v>110</v>
      </c>
      <c r="W6" s="49" t="s">
        <v>43</v>
      </c>
    </row>
    <row r="7" spans="1:23" ht="133.5" customHeight="1" x14ac:dyDescent="0.25">
      <c r="A7" s="259" t="s">
        <v>115</v>
      </c>
      <c r="B7" s="260"/>
      <c r="C7" s="271" t="s">
        <v>116</v>
      </c>
      <c r="D7" s="272"/>
      <c r="E7" s="84" t="s">
        <v>119</v>
      </c>
      <c r="F7" s="85" t="s">
        <v>120</v>
      </c>
      <c r="G7" s="88">
        <v>4</v>
      </c>
      <c r="H7" s="54" t="s">
        <v>121</v>
      </c>
      <c r="I7" s="90">
        <v>2</v>
      </c>
      <c r="J7" s="54" t="s">
        <v>122</v>
      </c>
      <c r="K7" s="54" t="s">
        <v>123</v>
      </c>
      <c r="L7" s="86">
        <v>1</v>
      </c>
      <c r="M7" s="68">
        <f>G7*I7*L7</f>
        <v>8</v>
      </c>
      <c r="N7" s="58" t="s">
        <v>124</v>
      </c>
      <c r="O7" s="92" t="s">
        <v>125</v>
      </c>
      <c r="P7" s="273" t="s">
        <v>126</v>
      </c>
      <c r="Q7" s="274"/>
      <c r="R7" s="274"/>
      <c r="S7" s="275"/>
      <c r="T7" s="60" t="s">
        <v>76</v>
      </c>
      <c r="U7" s="60"/>
      <c r="V7" s="93">
        <v>44150</v>
      </c>
      <c r="W7" s="60" t="s">
        <v>77</v>
      </c>
    </row>
    <row r="8" spans="1:23" ht="60" x14ac:dyDescent="0.25">
      <c r="A8" s="276" t="s">
        <v>117</v>
      </c>
      <c r="B8" s="277"/>
      <c r="C8" s="278" t="s">
        <v>118</v>
      </c>
      <c r="D8" s="279"/>
      <c r="E8" s="61" t="s">
        <v>127</v>
      </c>
      <c r="F8" s="53"/>
      <c r="G8" s="89">
        <v>2</v>
      </c>
      <c r="H8" s="62" t="s">
        <v>128</v>
      </c>
      <c r="I8" s="87">
        <v>3</v>
      </c>
      <c r="J8" s="62" t="s">
        <v>129</v>
      </c>
      <c r="K8" s="62" t="s">
        <v>130</v>
      </c>
      <c r="L8" s="87">
        <v>3</v>
      </c>
      <c r="M8" s="109">
        <f>G8*I8*L8</f>
        <v>18</v>
      </c>
      <c r="N8" s="62" t="s">
        <v>139</v>
      </c>
      <c r="O8" s="59" t="s">
        <v>125</v>
      </c>
      <c r="P8" s="280" t="s">
        <v>131</v>
      </c>
      <c r="Q8" s="281"/>
      <c r="R8" s="281"/>
      <c r="S8" s="282"/>
      <c r="T8" s="63"/>
      <c r="U8" s="63"/>
      <c r="V8" s="64" t="s">
        <v>142</v>
      </c>
      <c r="W8" s="65"/>
    </row>
    <row r="9" spans="1:23" ht="26.25" x14ac:dyDescent="0.25">
      <c r="A9" s="283"/>
      <c r="B9" s="284"/>
      <c r="C9" s="261"/>
      <c r="D9" s="262"/>
      <c r="E9" s="53"/>
      <c r="F9" s="53"/>
      <c r="G9" s="55"/>
      <c r="H9" s="53"/>
      <c r="I9" s="55"/>
      <c r="J9" s="53"/>
      <c r="K9" s="53"/>
      <c r="L9" s="55"/>
      <c r="M9" s="57"/>
      <c r="N9" s="53"/>
      <c r="O9" s="53"/>
      <c r="P9" s="263"/>
      <c r="Q9" s="264"/>
      <c r="R9" s="264"/>
      <c r="S9" s="265"/>
      <c r="T9" s="63"/>
      <c r="U9" s="63"/>
      <c r="V9" s="64"/>
      <c r="W9" s="65"/>
    </row>
    <row r="10" spans="1:23" x14ac:dyDescent="0.25">
      <c r="A10" s="66"/>
      <c r="B10" s="67"/>
      <c r="C10" s="261"/>
      <c r="D10" s="262"/>
      <c r="E10" s="69"/>
      <c r="F10" s="69"/>
      <c r="G10" s="70"/>
      <c r="H10" s="69"/>
      <c r="I10" s="70"/>
      <c r="J10" s="69"/>
      <c r="K10" s="71"/>
      <c r="L10" s="72"/>
      <c r="M10" s="56"/>
      <c r="N10" s="53"/>
      <c r="O10" s="69"/>
      <c r="P10" s="263"/>
      <c r="Q10" s="264"/>
      <c r="R10" s="264"/>
      <c r="S10" s="265"/>
      <c r="T10" s="71"/>
      <c r="U10" s="71"/>
      <c r="V10" s="71"/>
      <c r="W10" s="71"/>
    </row>
    <row r="11" spans="1:23" ht="18.75" x14ac:dyDescent="0.25">
      <c r="A11" s="266"/>
      <c r="B11" s="267"/>
      <c r="C11" s="268"/>
      <c r="D11" s="269"/>
      <c r="E11" s="69"/>
      <c r="F11" s="69"/>
      <c r="G11" s="70"/>
      <c r="H11" s="69"/>
      <c r="I11" s="70"/>
      <c r="J11" s="69"/>
      <c r="K11" s="69"/>
      <c r="L11" s="70"/>
      <c r="M11" s="56"/>
      <c r="N11" s="53"/>
      <c r="O11" s="69"/>
      <c r="P11" s="261"/>
      <c r="Q11" s="270"/>
      <c r="R11" s="270"/>
      <c r="S11" s="262"/>
      <c r="T11" s="71"/>
      <c r="U11" s="71"/>
      <c r="V11" s="71"/>
      <c r="W11" s="71"/>
    </row>
    <row r="12" spans="1:23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</row>
    <row r="13" spans="1:23" ht="15.75" x14ac:dyDescent="0.25">
      <c r="A13" s="43"/>
      <c r="B13" s="252" t="s">
        <v>17</v>
      </c>
      <c r="C13" s="252" t="s">
        <v>24</v>
      </c>
      <c r="D13" s="252"/>
      <c r="E13" s="252" t="s">
        <v>71</v>
      </c>
      <c r="F13" s="252"/>
      <c r="G13" s="252" t="s">
        <v>8</v>
      </c>
      <c r="H13" s="252"/>
      <c r="I13" s="252"/>
      <c r="J13" s="253" t="s">
        <v>34</v>
      </c>
      <c r="K13" s="254"/>
      <c r="L13" s="255"/>
      <c r="M13" s="180" t="s">
        <v>7</v>
      </c>
      <c r="N13" s="180"/>
      <c r="O13" s="180"/>
      <c r="P13" s="180"/>
      <c r="S13" s="73"/>
      <c r="T13" s="285"/>
      <c r="U13" s="285"/>
      <c r="V13" s="285"/>
      <c r="W13" s="285"/>
    </row>
    <row r="14" spans="1:23" ht="31.5" x14ac:dyDescent="0.25">
      <c r="A14" s="43"/>
      <c r="B14" s="252"/>
      <c r="C14" s="74" t="s">
        <v>106</v>
      </c>
      <c r="D14" s="74" t="s">
        <v>107</v>
      </c>
      <c r="E14" s="75" t="s">
        <v>19</v>
      </c>
      <c r="F14" s="75" t="s">
        <v>20</v>
      </c>
      <c r="G14" s="286" t="s">
        <v>1</v>
      </c>
      <c r="H14" s="287"/>
      <c r="I14" s="76" t="s">
        <v>111</v>
      </c>
      <c r="J14" s="256"/>
      <c r="K14" s="257"/>
      <c r="L14" s="258"/>
      <c r="M14" s="42" t="s">
        <v>25</v>
      </c>
      <c r="N14" s="42" t="s">
        <v>11</v>
      </c>
      <c r="O14" s="42" t="s">
        <v>42</v>
      </c>
      <c r="P14" s="42" t="s">
        <v>43</v>
      </c>
      <c r="Q14" s="73"/>
      <c r="S14" s="73"/>
      <c r="T14" s="77"/>
      <c r="U14" s="77"/>
      <c r="V14" s="77"/>
      <c r="W14" s="77"/>
    </row>
    <row r="15" spans="1:23" ht="82.5" customHeight="1" x14ac:dyDescent="0.25">
      <c r="A15" s="43"/>
      <c r="B15" s="78" t="s">
        <v>93</v>
      </c>
      <c r="C15" s="85" t="s">
        <v>132</v>
      </c>
      <c r="D15" s="79" t="s">
        <v>133</v>
      </c>
      <c r="E15" s="80" t="s">
        <v>76</v>
      </c>
      <c r="F15" s="80"/>
      <c r="G15" s="288" t="s">
        <v>94</v>
      </c>
      <c r="H15" s="289"/>
      <c r="I15" s="80" t="s">
        <v>95</v>
      </c>
      <c r="J15" s="288" t="s">
        <v>140</v>
      </c>
      <c r="K15" s="290"/>
      <c r="L15" s="289"/>
      <c r="M15" s="79" t="s">
        <v>76</v>
      </c>
      <c r="N15" s="81"/>
      <c r="O15" s="107">
        <v>44191</v>
      </c>
      <c r="P15" s="108" t="s">
        <v>168</v>
      </c>
      <c r="Q15" s="82"/>
      <c r="S15" s="82"/>
      <c r="T15" s="83"/>
      <c r="U15" s="83"/>
      <c r="V15" s="83"/>
      <c r="W15" s="83"/>
    </row>
  </sheetData>
  <mergeCells count="43">
    <mergeCell ref="M13:P13"/>
    <mergeCell ref="T13:W13"/>
    <mergeCell ref="G14:H14"/>
    <mergeCell ref="G15:H15"/>
    <mergeCell ref="J15:L15"/>
    <mergeCell ref="A7:B7"/>
    <mergeCell ref="C10:D10"/>
    <mergeCell ref="P10:S10"/>
    <mergeCell ref="A11:B11"/>
    <mergeCell ref="C11:D11"/>
    <mergeCell ref="P11:S11"/>
    <mergeCell ref="C7:D7"/>
    <mergeCell ref="P7:S7"/>
    <mergeCell ref="A8:B8"/>
    <mergeCell ref="C8:D8"/>
    <mergeCell ref="P8:S8"/>
    <mergeCell ref="C9:D9"/>
    <mergeCell ref="P9:S9"/>
    <mergeCell ref="A9:B9"/>
    <mergeCell ref="B13:B14"/>
    <mergeCell ref="C13:D13"/>
    <mergeCell ref="E13:F13"/>
    <mergeCell ref="G13:I13"/>
    <mergeCell ref="J13:L14"/>
    <mergeCell ref="T5:W5"/>
    <mergeCell ref="A5:B6"/>
    <mergeCell ref="C5:D6"/>
    <mergeCell ref="E5:F5"/>
    <mergeCell ref="G5:G6"/>
    <mergeCell ref="H5:H6"/>
    <mergeCell ref="I5:I6"/>
    <mergeCell ref="J5:K5"/>
    <mergeCell ref="L5:L6"/>
    <mergeCell ref="N5:N6"/>
    <mergeCell ref="O5:O6"/>
    <mergeCell ref="P5:S6"/>
    <mergeCell ref="B2:D2"/>
    <mergeCell ref="E2:T2"/>
    <mergeCell ref="U2:W2"/>
    <mergeCell ref="S3:W3"/>
    <mergeCell ref="B4:D4"/>
    <mergeCell ref="N4:O4"/>
    <mergeCell ref="P4:W4"/>
  </mergeCells>
  <pageMargins left="0.7" right="0.7" top="0.75" bottom="0.75" header="0.3" footer="0.3"/>
  <pageSetup paperSize="9" scale="42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topLeftCell="A6" zoomScale="64" zoomScaleNormal="64" zoomScaleSheetLayoutView="100" workbookViewId="0">
      <selection activeCell="C9" sqref="C9:D10"/>
    </sheetView>
  </sheetViews>
  <sheetFormatPr baseColWidth="10" defaultRowHeight="15" x14ac:dyDescent="0.25"/>
  <cols>
    <col min="2" max="2" width="42.28515625" customWidth="1"/>
    <col min="3" max="3" width="22.7109375" customWidth="1"/>
    <col min="4" max="4" width="24.7109375" customWidth="1"/>
    <col min="5" max="5" width="24.28515625" customWidth="1"/>
    <col min="6" max="6" width="18" customWidth="1"/>
    <col min="7" max="7" width="11.5703125" bestFit="1" customWidth="1"/>
    <col min="8" max="8" width="25.85546875" customWidth="1"/>
    <col min="9" max="9" width="19.85546875" customWidth="1"/>
    <col min="10" max="10" width="41.5703125" customWidth="1"/>
    <col min="11" max="11" width="25.42578125" customWidth="1"/>
    <col min="12" max="12" width="21.5703125" customWidth="1"/>
    <col min="13" max="13" width="18.28515625" customWidth="1"/>
    <col min="14" max="14" width="28" customWidth="1"/>
    <col min="15" max="15" width="25.28515625" customWidth="1"/>
    <col min="16" max="16" width="9.85546875" customWidth="1"/>
    <col min="18" max="18" width="24" customWidth="1"/>
    <col min="21" max="21" width="17.140625" customWidth="1"/>
    <col min="22" max="22" width="15.140625" customWidth="1"/>
  </cols>
  <sheetData>
    <row r="1" spans="1:23" ht="93" customHeight="1" x14ac:dyDescent="0.25">
      <c r="A1" s="94"/>
      <c r="B1" s="333" t="s">
        <v>143</v>
      </c>
      <c r="C1" s="334"/>
      <c r="D1" s="335"/>
      <c r="E1" s="336" t="s">
        <v>144</v>
      </c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8"/>
      <c r="U1" s="339" t="s">
        <v>145</v>
      </c>
      <c r="V1" s="340"/>
      <c r="W1" s="341"/>
    </row>
    <row r="2" spans="1:23" ht="96" customHeight="1" x14ac:dyDescent="0.35">
      <c r="A2" s="94"/>
      <c r="B2" s="342" t="s">
        <v>146</v>
      </c>
      <c r="C2" s="342"/>
      <c r="D2" s="342"/>
      <c r="E2" s="342"/>
      <c r="F2" s="342"/>
      <c r="G2" s="342"/>
      <c r="H2" s="342"/>
      <c r="I2" s="342"/>
      <c r="J2" s="95"/>
      <c r="K2" s="95"/>
      <c r="L2" s="95"/>
      <c r="M2" s="94"/>
      <c r="N2" s="94"/>
      <c r="O2" s="96"/>
      <c r="P2" s="97"/>
      <c r="Q2" s="97"/>
      <c r="R2" s="97"/>
      <c r="S2" s="97"/>
      <c r="T2" s="97"/>
      <c r="U2" s="346" t="s">
        <v>178</v>
      </c>
      <c r="V2" s="346"/>
      <c r="W2" s="346"/>
    </row>
    <row r="3" spans="1:23" ht="59.25" customHeight="1" x14ac:dyDescent="0.25">
      <c r="A3" s="94"/>
      <c r="B3" s="343" t="s">
        <v>147</v>
      </c>
      <c r="C3" s="343"/>
      <c r="D3" s="343"/>
      <c r="E3" s="343"/>
      <c r="F3" s="343"/>
      <c r="G3" s="343"/>
      <c r="H3" s="343"/>
      <c r="I3" s="343"/>
      <c r="J3" s="98"/>
      <c r="K3" s="98"/>
      <c r="L3" s="98"/>
      <c r="M3" s="99"/>
      <c r="N3" s="319" t="s">
        <v>148</v>
      </c>
      <c r="O3" s="344"/>
      <c r="P3" s="344"/>
      <c r="Q3" s="344"/>
      <c r="R3" s="344"/>
      <c r="S3" s="344"/>
      <c r="T3" s="344"/>
      <c r="U3" s="344"/>
      <c r="V3" s="344"/>
      <c r="W3" s="345"/>
    </row>
    <row r="4" spans="1:23" ht="84" customHeight="1" x14ac:dyDescent="0.25">
      <c r="A4" s="325" t="s">
        <v>149</v>
      </c>
      <c r="B4" s="326"/>
      <c r="C4" s="329" t="s">
        <v>0</v>
      </c>
      <c r="D4" s="330"/>
      <c r="E4" s="319" t="s">
        <v>150</v>
      </c>
      <c r="F4" s="320"/>
      <c r="G4" s="318" t="s">
        <v>151</v>
      </c>
      <c r="H4" s="318" t="s">
        <v>152</v>
      </c>
      <c r="I4" s="318" t="s">
        <v>191</v>
      </c>
      <c r="J4" s="319" t="s">
        <v>102</v>
      </c>
      <c r="K4" s="320"/>
      <c r="L4" s="321" t="s">
        <v>153</v>
      </c>
      <c r="M4" s="114" t="s">
        <v>154</v>
      </c>
      <c r="N4" s="323" t="s">
        <v>1</v>
      </c>
      <c r="O4" s="323" t="s">
        <v>2</v>
      </c>
      <c r="P4" s="309" t="s">
        <v>155</v>
      </c>
      <c r="Q4" s="310"/>
      <c r="R4" s="310"/>
      <c r="S4" s="311"/>
      <c r="T4" s="315" t="s">
        <v>7</v>
      </c>
      <c r="U4" s="316"/>
      <c r="V4" s="316"/>
      <c r="W4" s="317"/>
    </row>
    <row r="5" spans="1:23" ht="109.5" customHeight="1" x14ac:dyDescent="0.25">
      <c r="A5" s="327"/>
      <c r="B5" s="328"/>
      <c r="C5" s="331"/>
      <c r="D5" s="332"/>
      <c r="E5" s="110" t="s">
        <v>106</v>
      </c>
      <c r="F5" s="111" t="s">
        <v>107</v>
      </c>
      <c r="G5" s="318"/>
      <c r="H5" s="318"/>
      <c r="I5" s="318"/>
      <c r="J5" s="112" t="s">
        <v>108</v>
      </c>
      <c r="K5" s="113" t="s">
        <v>156</v>
      </c>
      <c r="L5" s="322"/>
      <c r="M5" s="113" t="s">
        <v>6</v>
      </c>
      <c r="N5" s="324"/>
      <c r="O5" s="324"/>
      <c r="P5" s="312"/>
      <c r="Q5" s="313"/>
      <c r="R5" s="313"/>
      <c r="S5" s="314"/>
      <c r="T5" s="100" t="s">
        <v>19</v>
      </c>
      <c r="U5" s="101" t="s">
        <v>20</v>
      </c>
      <c r="V5" s="101" t="s">
        <v>157</v>
      </c>
      <c r="W5" s="101" t="s">
        <v>43</v>
      </c>
    </row>
    <row r="6" spans="1:23" ht="131.25" customHeight="1" x14ac:dyDescent="0.25">
      <c r="A6" s="300" t="s">
        <v>158</v>
      </c>
      <c r="B6" s="301"/>
      <c r="C6" s="300" t="s">
        <v>192</v>
      </c>
      <c r="D6" s="301"/>
      <c r="E6" s="117" t="s">
        <v>169</v>
      </c>
      <c r="F6" s="115" t="s">
        <v>159</v>
      </c>
      <c r="G6" s="115">
        <v>3</v>
      </c>
      <c r="H6" s="115" t="s">
        <v>160</v>
      </c>
      <c r="I6" s="115">
        <v>3</v>
      </c>
      <c r="J6" s="115" t="s">
        <v>208</v>
      </c>
      <c r="K6" s="115" t="s">
        <v>193</v>
      </c>
      <c r="L6" s="115">
        <v>2</v>
      </c>
      <c r="M6" s="118">
        <f>G6*I6*L6</f>
        <v>18</v>
      </c>
      <c r="N6" s="115" t="s">
        <v>207</v>
      </c>
      <c r="O6" s="116" t="s">
        <v>95</v>
      </c>
      <c r="P6" s="304" t="s">
        <v>172</v>
      </c>
      <c r="Q6" s="305"/>
      <c r="R6" s="305"/>
      <c r="S6" s="306"/>
      <c r="T6" s="104" t="s">
        <v>76</v>
      </c>
      <c r="U6" s="105" t="s">
        <v>168</v>
      </c>
      <c r="V6" s="106">
        <v>44539</v>
      </c>
      <c r="W6" s="105" t="s">
        <v>77</v>
      </c>
    </row>
    <row r="7" spans="1:23" ht="120.75" customHeight="1" x14ac:dyDescent="0.25">
      <c r="A7" s="300" t="s">
        <v>173</v>
      </c>
      <c r="B7" s="301"/>
      <c r="C7" s="302" t="s">
        <v>161</v>
      </c>
      <c r="D7" s="303"/>
      <c r="E7" s="117" t="s">
        <v>170</v>
      </c>
      <c r="F7" s="115" t="s">
        <v>175</v>
      </c>
      <c r="G7" s="115">
        <v>2</v>
      </c>
      <c r="H7" s="115" t="s">
        <v>162</v>
      </c>
      <c r="I7" s="115">
        <v>3</v>
      </c>
      <c r="J7" s="115" t="s">
        <v>163</v>
      </c>
      <c r="K7" s="115" t="s">
        <v>171</v>
      </c>
      <c r="L7" s="115">
        <v>3</v>
      </c>
      <c r="M7" s="118">
        <f>G7*I7*L7</f>
        <v>18</v>
      </c>
      <c r="N7" s="115" t="s">
        <v>164</v>
      </c>
      <c r="O7" s="116" t="s">
        <v>95</v>
      </c>
      <c r="P7" s="304" t="s">
        <v>165</v>
      </c>
      <c r="Q7" s="305"/>
      <c r="R7" s="305"/>
      <c r="S7" s="306"/>
      <c r="T7" s="104" t="s">
        <v>76</v>
      </c>
      <c r="U7" s="105" t="s">
        <v>168</v>
      </c>
      <c r="V7" s="106">
        <v>44554</v>
      </c>
      <c r="W7" s="105" t="s">
        <v>77</v>
      </c>
    </row>
    <row r="8" spans="1:23" ht="195" customHeight="1" x14ac:dyDescent="0.25">
      <c r="A8" s="307" t="s">
        <v>174</v>
      </c>
      <c r="B8" s="308"/>
      <c r="C8" s="291" t="s">
        <v>186</v>
      </c>
      <c r="D8" s="292"/>
      <c r="E8" s="135" t="s">
        <v>194</v>
      </c>
      <c r="F8" s="136" t="s">
        <v>175</v>
      </c>
      <c r="G8" s="136">
        <v>2</v>
      </c>
      <c r="H8" s="136" t="s">
        <v>195</v>
      </c>
      <c r="I8" s="136">
        <v>3</v>
      </c>
      <c r="J8" s="136" t="s">
        <v>196</v>
      </c>
      <c r="K8" s="136" t="s">
        <v>176</v>
      </c>
      <c r="L8" s="136">
        <v>2</v>
      </c>
      <c r="M8" s="132">
        <v>12</v>
      </c>
      <c r="N8" s="136" t="s">
        <v>197</v>
      </c>
      <c r="O8" s="137" t="s">
        <v>95</v>
      </c>
      <c r="P8" s="293" t="s">
        <v>177</v>
      </c>
      <c r="Q8" s="294"/>
      <c r="R8" s="294"/>
      <c r="S8" s="295"/>
      <c r="T8" s="138"/>
      <c r="U8" s="139"/>
      <c r="V8" s="140" t="s">
        <v>209</v>
      </c>
      <c r="W8" s="139"/>
    </row>
    <row r="9" spans="1:23" ht="75.75" customHeight="1" x14ac:dyDescent="0.25">
      <c r="A9" s="296" t="s">
        <v>187</v>
      </c>
      <c r="B9" s="297"/>
      <c r="C9" s="291" t="s">
        <v>179</v>
      </c>
      <c r="D9" s="292"/>
      <c r="E9" s="135" t="s">
        <v>181</v>
      </c>
      <c r="F9" s="136" t="s">
        <v>184</v>
      </c>
      <c r="G9" s="136">
        <v>3</v>
      </c>
      <c r="H9" s="136" t="s">
        <v>180</v>
      </c>
      <c r="I9" s="136">
        <v>2</v>
      </c>
      <c r="J9" s="136" t="s">
        <v>185</v>
      </c>
      <c r="K9" s="136" t="s">
        <v>198</v>
      </c>
      <c r="L9" s="136">
        <v>2</v>
      </c>
      <c r="M9" s="132">
        <v>12</v>
      </c>
      <c r="N9" s="136" t="s">
        <v>183</v>
      </c>
      <c r="O9" s="137" t="s">
        <v>199</v>
      </c>
      <c r="P9" s="293" t="s">
        <v>188</v>
      </c>
      <c r="Q9" s="294"/>
      <c r="R9" s="294"/>
      <c r="S9" s="295"/>
      <c r="T9" s="138"/>
      <c r="U9" s="139"/>
      <c r="V9" s="140"/>
      <c r="W9" s="139"/>
    </row>
    <row r="10" spans="1:23" ht="157.5" customHeight="1" x14ac:dyDescent="0.25">
      <c r="A10" s="298"/>
      <c r="B10" s="299"/>
      <c r="C10" s="291" t="s">
        <v>182</v>
      </c>
      <c r="D10" s="292"/>
      <c r="E10" s="135" t="s">
        <v>200</v>
      </c>
      <c r="F10" s="136" t="s">
        <v>184</v>
      </c>
      <c r="G10" s="136">
        <v>3</v>
      </c>
      <c r="H10" s="136" t="s">
        <v>201</v>
      </c>
      <c r="I10" s="136">
        <v>2</v>
      </c>
      <c r="J10" s="136" t="s">
        <v>202</v>
      </c>
      <c r="K10" s="136" t="s">
        <v>202</v>
      </c>
      <c r="L10" s="136">
        <v>2</v>
      </c>
      <c r="M10" s="132">
        <v>12</v>
      </c>
      <c r="N10" s="136" t="s">
        <v>203</v>
      </c>
      <c r="O10" s="137" t="s">
        <v>199</v>
      </c>
      <c r="P10" s="293" t="s">
        <v>188</v>
      </c>
      <c r="Q10" s="294"/>
      <c r="R10" s="294"/>
      <c r="S10" s="295"/>
      <c r="T10" s="138"/>
      <c r="U10" s="139"/>
      <c r="V10" s="140" t="s">
        <v>209</v>
      </c>
      <c r="W10" s="139"/>
    </row>
    <row r="11" spans="1:23" ht="29.25" customHeight="1" x14ac:dyDescent="0.25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102"/>
      <c r="N11" s="94"/>
      <c r="O11" s="94"/>
      <c r="P11" s="94"/>
      <c r="Q11" s="94"/>
      <c r="R11" s="94"/>
      <c r="S11" s="94"/>
      <c r="T11" s="94"/>
      <c r="U11" s="94"/>
      <c r="V11" s="94"/>
      <c r="W11" s="94"/>
    </row>
    <row r="12" spans="1:23" ht="31.5" customHeight="1" x14ac:dyDescent="0.25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</row>
    <row r="13" spans="1:23" ht="96" customHeight="1" x14ac:dyDescent="0.25">
      <c r="A13" s="309" t="s">
        <v>17</v>
      </c>
      <c r="B13" s="311"/>
      <c r="C13" s="315" t="s">
        <v>24</v>
      </c>
      <c r="D13" s="355"/>
      <c r="E13" s="315" t="s">
        <v>71</v>
      </c>
      <c r="F13" s="317"/>
      <c r="G13" s="356" t="s">
        <v>8</v>
      </c>
      <c r="H13" s="357"/>
      <c r="I13" s="357"/>
      <c r="J13" s="357"/>
      <c r="K13" s="357"/>
      <c r="L13" s="358"/>
      <c r="M13" s="359" t="s">
        <v>34</v>
      </c>
      <c r="N13" s="360"/>
      <c r="O13" s="360"/>
      <c r="P13" s="361"/>
      <c r="Q13" s="365" t="s">
        <v>7</v>
      </c>
      <c r="R13" s="366"/>
      <c r="S13" s="366"/>
      <c r="T13" s="366"/>
      <c r="U13" s="367"/>
      <c r="V13" s="94"/>
      <c r="W13" s="94"/>
    </row>
    <row r="14" spans="1:23" ht="52.5" customHeight="1" x14ac:dyDescent="0.25">
      <c r="A14" s="312"/>
      <c r="B14" s="314"/>
      <c r="C14" s="112" t="s">
        <v>106</v>
      </c>
      <c r="D14" s="126" t="s">
        <v>166</v>
      </c>
      <c r="E14" s="127" t="s">
        <v>19</v>
      </c>
      <c r="F14" s="128" t="s">
        <v>20</v>
      </c>
      <c r="G14" s="368" t="s">
        <v>18</v>
      </c>
      <c r="H14" s="369"/>
      <c r="I14" s="369"/>
      <c r="J14" s="369"/>
      <c r="K14" s="370"/>
      <c r="L14" s="129" t="s">
        <v>2</v>
      </c>
      <c r="M14" s="362"/>
      <c r="N14" s="363"/>
      <c r="O14" s="363"/>
      <c r="P14" s="364"/>
      <c r="Q14" s="130" t="s">
        <v>25</v>
      </c>
      <c r="R14" s="131" t="s">
        <v>11</v>
      </c>
      <c r="S14" s="365" t="s">
        <v>42</v>
      </c>
      <c r="T14" s="367"/>
      <c r="U14" s="130" t="s">
        <v>167</v>
      </c>
      <c r="V14" s="94"/>
      <c r="W14" s="94"/>
    </row>
    <row r="15" spans="1:23" ht="255" customHeight="1" x14ac:dyDescent="0.25">
      <c r="A15" s="347" t="s">
        <v>204</v>
      </c>
      <c r="B15" s="348"/>
      <c r="C15" s="119" t="s">
        <v>189</v>
      </c>
      <c r="D15" s="120" t="s">
        <v>205</v>
      </c>
      <c r="E15" s="121" t="s">
        <v>72</v>
      </c>
      <c r="F15" s="122"/>
      <c r="G15" s="349" t="s">
        <v>190</v>
      </c>
      <c r="H15" s="350"/>
      <c r="I15" s="350"/>
      <c r="J15" s="350"/>
      <c r="K15" s="351"/>
      <c r="L15" s="133" t="s">
        <v>95</v>
      </c>
      <c r="M15" s="352" t="s">
        <v>206</v>
      </c>
      <c r="N15" s="353"/>
      <c r="O15" s="353"/>
      <c r="P15" s="354"/>
      <c r="Q15" s="123"/>
      <c r="R15" s="124"/>
      <c r="S15" s="371" t="s">
        <v>209</v>
      </c>
      <c r="T15" s="372"/>
      <c r="U15" s="125"/>
      <c r="V15" s="103"/>
      <c r="W15" s="103"/>
    </row>
  </sheetData>
  <mergeCells count="45">
    <mergeCell ref="A15:B15"/>
    <mergeCell ref="G15:K15"/>
    <mergeCell ref="M15:P15"/>
    <mergeCell ref="P10:S10"/>
    <mergeCell ref="A13:B14"/>
    <mergeCell ref="C13:D13"/>
    <mergeCell ref="E13:F13"/>
    <mergeCell ref="G13:L13"/>
    <mergeCell ref="M13:P14"/>
    <mergeCell ref="Q13:U13"/>
    <mergeCell ref="G14:K14"/>
    <mergeCell ref="S14:T14"/>
    <mergeCell ref="C10:D10"/>
    <mergeCell ref="S15:T15"/>
    <mergeCell ref="B1:D1"/>
    <mergeCell ref="E1:T1"/>
    <mergeCell ref="U1:W1"/>
    <mergeCell ref="B2:I2"/>
    <mergeCell ref="B3:I3"/>
    <mergeCell ref="N3:W3"/>
    <mergeCell ref="U2:W2"/>
    <mergeCell ref="P4:S5"/>
    <mergeCell ref="T4:W4"/>
    <mergeCell ref="A6:B6"/>
    <mergeCell ref="C6:D6"/>
    <mergeCell ref="P6:S6"/>
    <mergeCell ref="I4:I5"/>
    <mergeCell ref="J4:K4"/>
    <mergeCell ref="L4:L5"/>
    <mergeCell ref="N4:N5"/>
    <mergeCell ref="O4:O5"/>
    <mergeCell ref="A4:B5"/>
    <mergeCell ref="C4:D5"/>
    <mergeCell ref="E4:F4"/>
    <mergeCell ref="G4:G5"/>
    <mergeCell ref="H4:H5"/>
    <mergeCell ref="C9:D9"/>
    <mergeCell ref="P9:S9"/>
    <mergeCell ref="A9:B10"/>
    <mergeCell ref="A7:B7"/>
    <mergeCell ref="C7:D7"/>
    <mergeCell ref="P7:S7"/>
    <mergeCell ref="A8:B8"/>
    <mergeCell ref="C8:D8"/>
    <mergeCell ref="P8:S8"/>
  </mergeCells>
  <pageMargins left="0.7" right="0.7" top="0.75" bottom="0.75" header="0.3" footer="0.3"/>
  <pageSetup paperSize="9" scale="28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abSelected="1" zoomScale="73" zoomScaleNormal="73" zoomScaleSheetLayoutView="100" workbookViewId="0">
      <selection activeCell="B3" sqref="B3:I3"/>
    </sheetView>
  </sheetViews>
  <sheetFormatPr baseColWidth="10" defaultRowHeight="15" x14ac:dyDescent="0.25"/>
  <cols>
    <col min="2" max="2" width="42.28515625" customWidth="1"/>
    <col min="3" max="3" width="22.7109375" customWidth="1"/>
    <col min="4" max="4" width="24.7109375" customWidth="1"/>
    <col min="5" max="5" width="27.85546875" customWidth="1"/>
    <col min="6" max="6" width="19.42578125" customWidth="1"/>
    <col min="7" max="7" width="11.5703125" bestFit="1" customWidth="1"/>
    <col min="8" max="8" width="25.85546875" customWidth="1"/>
    <col min="9" max="9" width="19.85546875" customWidth="1"/>
    <col min="10" max="10" width="23.7109375" customWidth="1"/>
    <col min="11" max="11" width="25.42578125" customWidth="1"/>
    <col min="12" max="12" width="18.7109375" customWidth="1"/>
    <col min="13" max="13" width="18.28515625" customWidth="1"/>
    <col min="14" max="14" width="47.140625" customWidth="1"/>
    <col min="15" max="15" width="21.140625" customWidth="1"/>
    <col min="16" max="16" width="6.7109375" customWidth="1"/>
    <col min="18" max="18" width="24" customWidth="1"/>
    <col min="21" max="21" width="13.5703125" customWidth="1"/>
    <col min="22" max="22" width="12.42578125" bestFit="1" customWidth="1"/>
  </cols>
  <sheetData>
    <row r="1" spans="1:23" ht="93" customHeight="1" x14ac:dyDescent="0.25">
      <c r="A1" s="94"/>
      <c r="B1" s="333" t="s">
        <v>143</v>
      </c>
      <c r="C1" s="334"/>
      <c r="D1" s="335"/>
      <c r="E1" s="373" t="s">
        <v>144</v>
      </c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5"/>
      <c r="U1" s="339" t="s">
        <v>212</v>
      </c>
      <c r="V1" s="340"/>
      <c r="W1" s="341"/>
    </row>
    <row r="2" spans="1:23" ht="57" customHeight="1" x14ac:dyDescent="0.35">
      <c r="A2" s="94"/>
      <c r="B2" s="342" t="s">
        <v>146</v>
      </c>
      <c r="C2" s="342"/>
      <c r="D2" s="342"/>
      <c r="E2" s="342"/>
      <c r="F2" s="342"/>
      <c r="G2" s="342"/>
      <c r="H2" s="342"/>
      <c r="I2" s="342"/>
      <c r="J2" s="95"/>
      <c r="K2" s="95"/>
      <c r="L2" s="95"/>
      <c r="M2" s="94"/>
      <c r="N2" s="94"/>
      <c r="O2" s="96"/>
      <c r="P2" s="97"/>
      <c r="Q2" s="97"/>
      <c r="R2" s="97"/>
      <c r="S2" s="97"/>
      <c r="T2" s="97"/>
      <c r="U2" s="376" t="s">
        <v>229</v>
      </c>
      <c r="V2" s="376"/>
      <c r="W2" s="376"/>
    </row>
    <row r="3" spans="1:23" ht="59.25" customHeight="1" x14ac:dyDescent="0.25">
      <c r="A3" s="94"/>
      <c r="B3" s="343" t="s">
        <v>147</v>
      </c>
      <c r="C3" s="343"/>
      <c r="D3" s="343"/>
      <c r="E3" s="343"/>
      <c r="F3" s="343"/>
      <c r="G3" s="343"/>
      <c r="H3" s="343"/>
      <c r="I3" s="343"/>
      <c r="J3" s="98"/>
      <c r="K3" s="98"/>
      <c r="L3" s="98"/>
      <c r="M3" s="99"/>
      <c r="N3" s="319" t="s">
        <v>148</v>
      </c>
      <c r="O3" s="344"/>
      <c r="P3" s="344"/>
      <c r="Q3" s="344"/>
      <c r="R3" s="344"/>
      <c r="S3" s="344"/>
      <c r="T3" s="344"/>
      <c r="U3" s="344"/>
      <c r="V3" s="344"/>
      <c r="W3" s="345"/>
    </row>
    <row r="4" spans="1:23" ht="84" customHeight="1" x14ac:dyDescent="0.25">
      <c r="A4" s="380" t="s">
        <v>149</v>
      </c>
      <c r="B4" s="381"/>
      <c r="C4" s="380" t="s">
        <v>0</v>
      </c>
      <c r="D4" s="381"/>
      <c r="E4" s="377" t="s">
        <v>150</v>
      </c>
      <c r="F4" s="384"/>
      <c r="G4" s="318" t="s">
        <v>151</v>
      </c>
      <c r="H4" s="318" t="s">
        <v>152</v>
      </c>
      <c r="I4" s="318" t="s">
        <v>191</v>
      </c>
      <c r="J4" s="377" t="s">
        <v>102</v>
      </c>
      <c r="K4" s="384"/>
      <c r="L4" s="385" t="s">
        <v>153</v>
      </c>
      <c r="M4" s="142" t="s">
        <v>154</v>
      </c>
      <c r="N4" s="387" t="s">
        <v>1</v>
      </c>
      <c r="O4" s="387" t="s">
        <v>2</v>
      </c>
      <c r="P4" s="380" t="s">
        <v>155</v>
      </c>
      <c r="Q4" s="389"/>
      <c r="R4" s="389"/>
      <c r="S4" s="381"/>
      <c r="T4" s="377" t="s">
        <v>7</v>
      </c>
      <c r="U4" s="378"/>
      <c r="V4" s="378"/>
      <c r="W4" s="379"/>
    </row>
    <row r="5" spans="1:23" ht="53.25" customHeight="1" x14ac:dyDescent="0.25">
      <c r="A5" s="382"/>
      <c r="B5" s="383"/>
      <c r="C5" s="382"/>
      <c r="D5" s="383"/>
      <c r="E5" s="141" t="s">
        <v>106</v>
      </c>
      <c r="F5" s="101" t="s">
        <v>107</v>
      </c>
      <c r="G5" s="318"/>
      <c r="H5" s="318"/>
      <c r="I5" s="318"/>
      <c r="J5" s="143" t="s">
        <v>108</v>
      </c>
      <c r="K5" s="143" t="s">
        <v>156</v>
      </c>
      <c r="L5" s="386"/>
      <c r="M5" s="143" t="s">
        <v>6</v>
      </c>
      <c r="N5" s="388"/>
      <c r="O5" s="388"/>
      <c r="P5" s="382"/>
      <c r="Q5" s="390"/>
      <c r="R5" s="390"/>
      <c r="S5" s="383"/>
      <c r="T5" s="141" t="s">
        <v>19</v>
      </c>
      <c r="U5" s="101" t="s">
        <v>20</v>
      </c>
      <c r="V5" s="101" t="s">
        <v>157</v>
      </c>
      <c r="W5" s="101" t="s">
        <v>43</v>
      </c>
    </row>
    <row r="6" spans="1:23" ht="117.75" customHeight="1" x14ac:dyDescent="0.25">
      <c r="A6" s="391" t="s">
        <v>174</v>
      </c>
      <c r="B6" s="392"/>
      <c r="C6" s="393" t="s">
        <v>186</v>
      </c>
      <c r="D6" s="394"/>
      <c r="E6" s="148" t="s">
        <v>194</v>
      </c>
      <c r="F6" s="144" t="s">
        <v>175</v>
      </c>
      <c r="G6" s="145">
        <v>2</v>
      </c>
      <c r="H6" s="144" t="s">
        <v>216</v>
      </c>
      <c r="I6" s="145">
        <v>3</v>
      </c>
      <c r="J6" s="144" t="s">
        <v>196</v>
      </c>
      <c r="K6" s="144" t="s">
        <v>176</v>
      </c>
      <c r="L6" s="145">
        <v>2</v>
      </c>
      <c r="M6" s="146">
        <v>12</v>
      </c>
      <c r="N6" s="144" t="s">
        <v>213</v>
      </c>
      <c r="O6" s="147" t="s">
        <v>211</v>
      </c>
      <c r="P6" s="395" t="s">
        <v>177</v>
      </c>
      <c r="Q6" s="396"/>
      <c r="R6" s="396"/>
      <c r="S6" s="397"/>
      <c r="T6" s="138" t="s">
        <v>76</v>
      </c>
      <c r="U6" s="139"/>
      <c r="V6" s="140">
        <v>44922</v>
      </c>
      <c r="W6" s="139" t="s">
        <v>77</v>
      </c>
    </row>
    <row r="7" spans="1:23" ht="67.5" customHeight="1" x14ac:dyDescent="0.25">
      <c r="A7" s="398" t="s">
        <v>187</v>
      </c>
      <c r="B7" s="399"/>
      <c r="C7" s="393" t="s">
        <v>179</v>
      </c>
      <c r="D7" s="394"/>
      <c r="E7" s="148" t="s">
        <v>181</v>
      </c>
      <c r="F7" s="144" t="s">
        <v>184</v>
      </c>
      <c r="G7" s="145">
        <v>3</v>
      </c>
      <c r="H7" s="144" t="s">
        <v>180</v>
      </c>
      <c r="I7" s="145">
        <v>2</v>
      </c>
      <c r="J7" s="144" t="s">
        <v>185</v>
      </c>
      <c r="K7" s="144" t="s">
        <v>198</v>
      </c>
      <c r="L7" s="145">
        <v>2</v>
      </c>
      <c r="M7" s="146">
        <v>12</v>
      </c>
      <c r="N7" s="144" t="s">
        <v>183</v>
      </c>
      <c r="O7" s="147" t="s">
        <v>211</v>
      </c>
      <c r="P7" s="395" t="s">
        <v>188</v>
      </c>
      <c r="Q7" s="396"/>
      <c r="R7" s="396"/>
      <c r="S7" s="397"/>
      <c r="T7" s="138"/>
      <c r="U7" s="139"/>
      <c r="V7" s="140" t="s">
        <v>219</v>
      </c>
      <c r="W7" s="139"/>
    </row>
    <row r="8" spans="1:23" ht="93" customHeight="1" x14ac:dyDescent="0.25">
      <c r="A8" s="400"/>
      <c r="B8" s="401"/>
      <c r="C8" s="393" t="s">
        <v>182</v>
      </c>
      <c r="D8" s="394"/>
      <c r="E8" s="148" t="s">
        <v>214</v>
      </c>
      <c r="F8" s="144" t="s">
        <v>184</v>
      </c>
      <c r="G8" s="145">
        <v>3</v>
      </c>
      <c r="H8" s="144" t="s">
        <v>215</v>
      </c>
      <c r="I8" s="145">
        <v>2</v>
      </c>
      <c r="J8" s="144" t="s">
        <v>217</v>
      </c>
      <c r="K8" s="144" t="s">
        <v>218</v>
      </c>
      <c r="L8" s="145">
        <v>2</v>
      </c>
      <c r="M8" s="146">
        <v>12</v>
      </c>
      <c r="N8" s="144" t="s">
        <v>203</v>
      </c>
      <c r="O8" s="147" t="s">
        <v>211</v>
      </c>
      <c r="P8" s="395" t="s">
        <v>188</v>
      </c>
      <c r="Q8" s="396"/>
      <c r="R8" s="396"/>
      <c r="S8" s="397"/>
      <c r="T8" s="138"/>
      <c r="U8" s="139"/>
      <c r="V8" s="140" t="s">
        <v>219</v>
      </c>
      <c r="W8" s="139"/>
    </row>
    <row r="9" spans="1:23" ht="29.25" customHeight="1" x14ac:dyDescent="0.2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102"/>
      <c r="N9" s="94"/>
      <c r="O9" s="94"/>
      <c r="P9" s="94"/>
      <c r="Q9" s="94"/>
      <c r="R9" s="94"/>
      <c r="S9" s="94"/>
      <c r="T9" s="94"/>
      <c r="U9" s="94"/>
      <c r="V9" s="94"/>
      <c r="W9" s="94"/>
    </row>
    <row r="10" spans="1:23" ht="31.5" customHeight="1" x14ac:dyDescent="0.25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</row>
    <row r="11" spans="1:23" ht="42.75" customHeight="1" x14ac:dyDescent="0.25">
      <c r="A11" s="309" t="s">
        <v>17</v>
      </c>
      <c r="B11" s="311"/>
      <c r="C11" s="315" t="s">
        <v>24</v>
      </c>
      <c r="D11" s="355"/>
      <c r="E11" s="315" t="s">
        <v>71</v>
      </c>
      <c r="F11" s="317"/>
      <c r="G11" s="356" t="s">
        <v>8</v>
      </c>
      <c r="H11" s="357"/>
      <c r="I11" s="357"/>
      <c r="J11" s="357"/>
      <c r="K11" s="357"/>
      <c r="L11" s="358"/>
      <c r="M11" s="359" t="s">
        <v>34</v>
      </c>
      <c r="N11" s="360"/>
      <c r="O11" s="360"/>
      <c r="P11" s="361"/>
      <c r="Q11" s="365" t="s">
        <v>7</v>
      </c>
      <c r="R11" s="366"/>
      <c r="S11" s="366"/>
      <c r="T11" s="366"/>
      <c r="U11" s="367"/>
      <c r="V11" s="94"/>
      <c r="W11" s="94"/>
    </row>
    <row r="12" spans="1:23" ht="53.25" customHeight="1" x14ac:dyDescent="0.25">
      <c r="A12" s="312"/>
      <c r="B12" s="314"/>
      <c r="C12" s="134" t="s">
        <v>106</v>
      </c>
      <c r="D12" s="126" t="s">
        <v>166</v>
      </c>
      <c r="E12" s="127" t="s">
        <v>19</v>
      </c>
      <c r="F12" s="128" t="s">
        <v>20</v>
      </c>
      <c r="G12" s="368" t="s">
        <v>18</v>
      </c>
      <c r="H12" s="369"/>
      <c r="I12" s="369"/>
      <c r="J12" s="369"/>
      <c r="K12" s="370"/>
      <c r="L12" s="129" t="s">
        <v>2</v>
      </c>
      <c r="M12" s="362"/>
      <c r="N12" s="363"/>
      <c r="O12" s="363"/>
      <c r="P12" s="364"/>
      <c r="Q12" s="130" t="s">
        <v>25</v>
      </c>
      <c r="R12" s="131" t="s">
        <v>11</v>
      </c>
      <c r="S12" s="365" t="s">
        <v>42</v>
      </c>
      <c r="T12" s="367"/>
      <c r="U12" s="130" t="s">
        <v>167</v>
      </c>
      <c r="V12" s="94"/>
      <c r="W12" s="94"/>
    </row>
    <row r="13" spans="1:23" ht="72.75" customHeight="1" x14ac:dyDescent="0.25">
      <c r="A13" s="404" t="s">
        <v>204</v>
      </c>
      <c r="B13" s="405"/>
      <c r="C13" s="149" t="s">
        <v>189</v>
      </c>
      <c r="D13" s="150" t="s">
        <v>205</v>
      </c>
      <c r="E13" s="151" t="s">
        <v>72</v>
      </c>
      <c r="F13" s="152"/>
      <c r="G13" s="406" t="s">
        <v>190</v>
      </c>
      <c r="H13" s="407"/>
      <c r="I13" s="407"/>
      <c r="J13" s="407"/>
      <c r="K13" s="408"/>
      <c r="L13" s="153" t="s">
        <v>210</v>
      </c>
      <c r="M13" s="404" t="s">
        <v>206</v>
      </c>
      <c r="N13" s="409"/>
      <c r="O13" s="409"/>
      <c r="P13" s="405"/>
      <c r="Q13" s="154"/>
      <c r="R13" s="155"/>
      <c r="S13" s="402" t="s">
        <v>219</v>
      </c>
      <c r="T13" s="403"/>
      <c r="U13" s="157"/>
      <c r="V13" s="103"/>
      <c r="W13" s="103"/>
    </row>
  </sheetData>
  <mergeCells count="39">
    <mergeCell ref="S13:T13"/>
    <mergeCell ref="A13:B13"/>
    <mergeCell ref="G13:K13"/>
    <mergeCell ref="M13:P13"/>
    <mergeCell ref="A11:B12"/>
    <mergeCell ref="C11:D11"/>
    <mergeCell ref="E11:F11"/>
    <mergeCell ref="G11:L11"/>
    <mergeCell ref="M11:P12"/>
    <mergeCell ref="Q11:U11"/>
    <mergeCell ref="G12:K12"/>
    <mergeCell ref="S12:T12"/>
    <mergeCell ref="A6:B6"/>
    <mergeCell ref="C6:D6"/>
    <mergeCell ref="P6:S6"/>
    <mergeCell ref="A7:B8"/>
    <mergeCell ref="C7:D7"/>
    <mergeCell ref="P7:S7"/>
    <mergeCell ref="C8:D8"/>
    <mergeCell ref="P8:S8"/>
    <mergeCell ref="T4:W4"/>
    <mergeCell ref="A4:B5"/>
    <mergeCell ref="C4:D5"/>
    <mergeCell ref="E4:F4"/>
    <mergeCell ref="G4:G5"/>
    <mergeCell ref="H4:H5"/>
    <mergeCell ref="I4:I5"/>
    <mergeCell ref="J4:K4"/>
    <mergeCell ref="L4:L5"/>
    <mergeCell ref="N4:N5"/>
    <mergeCell ref="O4:O5"/>
    <mergeCell ref="P4:S5"/>
    <mergeCell ref="B3:I3"/>
    <mergeCell ref="N3:W3"/>
    <mergeCell ref="B1:D1"/>
    <mergeCell ref="E1:T1"/>
    <mergeCell ref="U1:W1"/>
    <mergeCell ref="B2:I2"/>
    <mergeCell ref="U2:W2"/>
  </mergeCells>
  <pageMargins left="0.7" right="0.7" top="0.75" bottom="0.75" header="0.3" footer="0.3"/>
  <pageSetup paperSize="9" scale="28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topLeftCell="I7" zoomScale="73" zoomScaleNormal="73" zoomScaleSheetLayoutView="100" workbookViewId="0">
      <selection activeCell="N21" sqref="N21"/>
    </sheetView>
  </sheetViews>
  <sheetFormatPr baseColWidth="10" defaultRowHeight="15" x14ac:dyDescent="0.25"/>
  <cols>
    <col min="2" max="2" width="42.28515625" customWidth="1"/>
    <col min="3" max="3" width="22.7109375" customWidth="1"/>
    <col min="4" max="4" width="24.7109375" customWidth="1"/>
    <col min="5" max="5" width="27.85546875" customWidth="1"/>
    <col min="6" max="6" width="19.42578125" customWidth="1"/>
    <col min="7" max="7" width="11.5703125" bestFit="1" customWidth="1"/>
    <col min="8" max="8" width="25.85546875" customWidth="1"/>
    <col min="9" max="9" width="19.85546875" customWidth="1"/>
    <col min="10" max="10" width="23.7109375" customWidth="1"/>
    <col min="11" max="11" width="25.42578125" customWidth="1"/>
    <col min="12" max="12" width="18.7109375" customWidth="1"/>
    <col min="13" max="13" width="18.28515625" customWidth="1"/>
    <col min="14" max="14" width="47.140625" customWidth="1"/>
    <col min="15" max="15" width="21.140625" customWidth="1"/>
    <col min="16" max="16" width="6.7109375" customWidth="1"/>
    <col min="18" max="18" width="24" customWidth="1"/>
    <col min="21" max="21" width="13.5703125" customWidth="1"/>
    <col min="22" max="22" width="12.42578125" bestFit="1" customWidth="1"/>
  </cols>
  <sheetData>
    <row r="1" spans="1:23" ht="93" customHeight="1" x14ac:dyDescent="0.25">
      <c r="A1" s="94"/>
      <c r="B1" s="333" t="s">
        <v>143</v>
      </c>
      <c r="C1" s="334"/>
      <c r="D1" s="335"/>
      <c r="E1" s="373" t="s">
        <v>144</v>
      </c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5"/>
      <c r="U1" s="339" t="s">
        <v>212</v>
      </c>
      <c r="V1" s="340"/>
      <c r="W1" s="341"/>
    </row>
    <row r="2" spans="1:23" ht="57" customHeight="1" x14ac:dyDescent="0.35">
      <c r="A2" s="94"/>
      <c r="B2" s="342" t="s">
        <v>146</v>
      </c>
      <c r="C2" s="342"/>
      <c r="D2" s="342"/>
      <c r="E2" s="342"/>
      <c r="F2" s="342"/>
      <c r="G2" s="342"/>
      <c r="H2" s="342"/>
      <c r="I2" s="342"/>
      <c r="J2" s="95"/>
      <c r="K2" s="95"/>
      <c r="L2" s="95"/>
      <c r="M2" s="94"/>
      <c r="N2" s="94"/>
      <c r="O2" s="96"/>
      <c r="P2" s="97"/>
      <c r="Q2" s="97"/>
      <c r="R2" s="97"/>
      <c r="S2" s="97"/>
      <c r="T2" s="97"/>
      <c r="U2" s="376" t="s">
        <v>222</v>
      </c>
      <c r="V2" s="376"/>
      <c r="W2" s="376"/>
    </row>
    <row r="3" spans="1:23" ht="59.25" customHeight="1" x14ac:dyDescent="0.25">
      <c r="A3" s="94"/>
      <c r="B3" s="343" t="s">
        <v>147</v>
      </c>
      <c r="C3" s="343"/>
      <c r="D3" s="343"/>
      <c r="E3" s="343"/>
      <c r="F3" s="343"/>
      <c r="G3" s="343"/>
      <c r="H3" s="343"/>
      <c r="I3" s="343"/>
      <c r="J3" s="98"/>
      <c r="K3" s="98"/>
      <c r="L3" s="98"/>
      <c r="M3" s="99"/>
      <c r="N3" s="319" t="s">
        <v>148</v>
      </c>
      <c r="O3" s="344"/>
      <c r="P3" s="344"/>
      <c r="Q3" s="344"/>
      <c r="R3" s="344"/>
      <c r="S3" s="344"/>
      <c r="T3" s="344"/>
      <c r="U3" s="344"/>
      <c r="V3" s="344"/>
      <c r="W3" s="345"/>
    </row>
    <row r="4" spans="1:23" ht="84" customHeight="1" x14ac:dyDescent="0.25">
      <c r="A4" s="380" t="s">
        <v>149</v>
      </c>
      <c r="B4" s="381"/>
      <c r="C4" s="380" t="s">
        <v>0</v>
      </c>
      <c r="D4" s="381"/>
      <c r="E4" s="377" t="s">
        <v>150</v>
      </c>
      <c r="F4" s="384"/>
      <c r="G4" s="318" t="s">
        <v>151</v>
      </c>
      <c r="H4" s="318" t="s">
        <v>152</v>
      </c>
      <c r="I4" s="318" t="s">
        <v>191</v>
      </c>
      <c r="J4" s="377" t="s">
        <v>102</v>
      </c>
      <c r="K4" s="384"/>
      <c r="L4" s="385" t="s">
        <v>153</v>
      </c>
      <c r="M4" s="142" t="s">
        <v>154</v>
      </c>
      <c r="N4" s="387" t="s">
        <v>1</v>
      </c>
      <c r="O4" s="387" t="s">
        <v>2</v>
      </c>
      <c r="P4" s="380" t="s">
        <v>155</v>
      </c>
      <c r="Q4" s="389"/>
      <c r="R4" s="389"/>
      <c r="S4" s="381"/>
      <c r="T4" s="377" t="s">
        <v>7</v>
      </c>
      <c r="U4" s="378"/>
      <c r="V4" s="378"/>
      <c r="W4" s="379"/>
    </row>
    <row r="5" spans="1:23" ht="53.25" customHeight="1" x14ac:dyDescent="0.25">
      <c r="A5" s="382"/>
      <c r="B5" s="383"/>
      <c r="C5" s="382"/>
      <c r="D5" s="383"/>
      <c r="E5" s="159" t="s">
        <v>106</v>
      </c>
      <c r="F5" s="162" t="s">
        <v>107</v>
      </c>
      <c r="G5" s="318"/>
      <c r="H5" s="318"/>
      <c r="I5" s="318"/>
      <c r="J5" s="161" t="s">
        <v>108</v>
      </c>
      <c r="K5" s="161" t="s">
        <v>156</v>
      </c>
      <c r="L5" s="386"/>
      <c r="M5" s="161" t="s">
        <v>6</v>
      </c>
      <c r="N5" s="388"/>
      <c r="O5" s="388"/>
      <c r="P5" s="382"/>
      <c r="Q5" s="390"/>
      <c r="R5" s="390"/>
      <c r="S5" s="383"/>
      <c r="T5" s="159" t="s">
        <v>19</v>
      </c>
      <c r="U5" s="162" t="s">
        <v>20</v>
      </c>
      <c r="V5" s="162" t="s">
        <v>157</v>
      </c>
      <c r="W5" s="162" t="s">
        <v>43</v>
      </c>
    </row>
    <row r="6" spans="1:23" ht="67.5" customHeight="1" x14ac:dyDescent="0.25">
      <c r="A6" s="410" t="s">
        <v>187</v>
      </c>
      <c r="B6" s="411"/>
      <c r="C6" s="393" t="s">
        <v>179</v>
      </c>
      <c r="D6" s="394"/>
      <c r="E6" s="148" t="s">
        <v>181</v>
      </c>
      <c r="F6" s="144" t="s">
        <v>184</v>
      </c>
      <c r="G6" s="145">
        <v>3</v>
      </c>
      <c r="H6" s="144" t="s">
        <v>180</v>
      </c>
      <c r="I6" s="145">
        <v>2</v>
      </c>
      <c r="J6" s="144" t="s">
        <v>185</v>
      </c>
      <c r="K6" s="144" t="s">
        <v>198</v>
      </c>
      <c r="L6" s="145">
        <v>2</v>
      </c>
      <c r="M6" s="146">
        <f>G6*I6*L6</f>
        <v>12</v>
      </c>
      <c r="N6" s="144" t="s">
        <v>183</v>
      </c>
      <c r="O6" s="147" t="s">
        <v>211</v>
      </c>
      <c r="P6" s="395" t="s">
        <v>188</v>
      </c>
      <c r="Q6" s="396"/>
      <c r="R6" s="396"/>
      <c r="S6" s="397"/>
      <c r="T6" s="138"/>
      <c r="U6" s="139"/>
      <c r="V6" s="140"/>
      <c r="W6" s="139"/>
    </row>
    <row r="7" spans="1:23" ht="93" customHeight="1" x14ac:dyDescent="0.25">
      <c r="A7" s="412"/>
      <c r="B7" s="413"/>
      <c r="C7" s="393" t="s">
        <v>182</v>
      </c>
      <c r="D7" s="394"/>
      <c r="E7" s="148" t="s">
        <v>214</v>
      </c>
      <c r="F7" s="144" t="s">
        <v>184</v>
      </c>
      <c r="G7" s="145">
        <v>3</v>
      </c>
      <c r="H7" s="144" t="s">
        <v>215</v>
      </c>
      <c r="I7" s="145">
        <v>2</v>
      </c>
      <c r="J7" s="144" t="s">
        <v>217</v>
      </c>
      <c r="K7" s="144" t="s">
        <v>218</v>
      </c>
      <c r="L7" s="145">
        <v>2</v>
      </c>
      <c r="M7" s="146">
        <f t="shared" ref="M7:M8" si="0">G7*I7*L7</f>
        <v>12</v>
      </c>
      <c r="N7" s="144" t="s">
        <v>221</v>
      </c>
      <c r="O7" s="147" t="s">
        <v>211</v>
      </c>
      <c r="P7" s="395" t="s">
        <v>188</v>
      </c>
      <c r="Q7" s="396"/>
      <c r="R7" s="396"/>
      <c r="S7" s="397"/>
      <c r="T7" s="138"/>
      <c r="U7" s="139"/>
      <c r="V7" s="140"/>
      <c r="W7" s="139"/>
    </row>
    <row r="8" spans="1:23" ht="92.25" customHeight="1" x14ac:dyDescent="0.25">
      <c r="A8" s="414"/>
      <c r="B8" s="415"/>
      <c r="C8" s="393" t="s">
        <v>223</v>
      </c>
      <c r="D8" s="394"/>
      <c r="E8" s="148" t="s">
        <v>224</v>
      </c>
      <c r="F8" s="144" t="s">
        <v>175</v>
      </c>
      <c r="G8" s="145">
        <v>2</v>
      </c>
      <c r="H8" s="144" t="s">
        <v>225</v>
      </c>
      <c r="I8" s="145">
        <v>2</v>
      </c>
      <c r="J8" s="144" t="s">
        <v>175</v>
      </c>
      <c r="K8" s="144" t="s">
        <v>226</v>
      </c>
      <c r="L8" s="145">
        <v>2</v>
      </c>
      <c r="M8" s="146">
        <f t="shared" si="0"/>
        <v>8</v>
      </c>
      <c r="N8" s="144" t="s">
        <v>227</v>
      </c>
      <c r="O8" s="147" t="s">
        <v>211</v>
      </c>
      <c r="P8" s="395" t="s">
        <v>228</v>
      </c>
      <c r="Q8" s="396"/>
      <c r="R8" s="396"/>
      <c r="S8" s="397"/>
      <c r="T8" s="138"/>
      <c r="U8" s="139"/>
      <c r="V8" s="140"/>
      <c r="W8" s="139"/>
    </row>
    <row r="9" spans="1:23" ht="31.5" customHeight="1" x14ac:dyDescent="0.2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</row>
    <row r="10" spans="1:23" ht="42.75" customHeight="1" x14ac:dyDescent="0.25">
      <c r="A10" s="309" t="s">
        <v>17</v>
      </c>
      <c r="B10" s="311"/>
      <c r="C10" s="315" t="s">
        <v>24</v>
      </c>
      <c r="D10" s="355"/>
      <c r="E10" s="315" t="s">
        <v>71</v>
      </c>
      <c r="F10" s="317"/>
      <c r="G10" s="356" t="s">
        <v>8</v>
      </c>
      <c r="H10" s="357"/>
      <c r="I10" s="357"/>
      <c r="J10" s="357"/>
      <c r="K10" s="357"/>
      <c r="L10" s="358"/>
      <c r="M10" s="359" t="s">
        <v>34</v>
      </c>
      <c r="N10" s="360"/>
      <c r="O10" s="360"/>
      <c r="P10" s="361"/>
      <c r="Q10" s="365" t="s">
        <v>7</v>
      </c>
      <c r="R10" s="366"/>
      <c r="S10" s="366"/>
      <c r="T10" s="366"/>
      <c r="U10" s="367"/>
      <c r="V10" s="94"/>
      <c r="W10" s="94"/>
    </row>
    <row r="11" spans="1:23" ht="53.25" customHeight="1" x14ac:dyDescent="0.25">
      <c r="A11" s="312"/>
      <c r="B11" s="314"/>
      <c r="C11" s="158" t="s">
        <v>106</v>
      </c>
      <c r="D11" s="126" t="s">
        <v>166</v>
      </c>
      <c r="E11" s="127" t="s">
        <v>19</v>
      </c>
      <c r="F11" s="128" t="s">
        <v>20</v>
      </c>
      <c r="G11" s="368" t="s">
        <v>18</v>
      </c>
      <c r="H11" s="369"/>
      <c r="I11" s="369"/>
      <c r="J11" s="369"/>
      <c r="K11" s="370"/>
      <c r="L11" s="129" t="s">
        <v>2</v>
      </c>
      <c r="M11" s="362"/>
      <c r="N11" s="363"/>
      <c r="O11" s="363"/>
      <c r="P11" s="364"/>
      <c r="Q11" s="130" t="s">
        <v>25</v>
      </c>
      <c r="R11" s="131" t="s">
        <v>11</v>
      </c>
      <c r="S11" s="365" t="s">
        <v>42</v>
      </c>
      <c r="T11" s="367"/>
      <c r="U11" s="130" t="s">
        <v>167</v>
      </c>
      <c r="V11" s="94"/>
      <c r="W11" s="94"/>
    </row>
    <row r="12" spans="1:23" ht="72.75" customHeight="1" x14ac:dyDescent="0.25">
      <c r="A12" s="404" t="s">
        <v>204</v>
      </c>
      <c r="B12" s="405"/>
      <c r="C12" s="149" t="s">
        <v>189</v>
      </c>
      <c r="D12" s="150" t="s">
        <v>205</v>
      </c>
      <c r="E12" s="160" t="s">
        <v>72</v>
      </c>
      <c r="F12" s="152"/>
      <c r="G12" s="406" t="s">
        <v>190</v>
      </c>
      <c r="H12" s="407"/>
      <c r="I12" s="407"/>
      <c r="J12" s="407"/>
      <c r="K12" s="408"/>
      <c r="L12" s="153" t="s">
        <v>210</v>
      </c>
      <c r="M12" s="404" t="s">
        <v>220</v>
      </c>
      <c r="N12" s="409"/>
      <c r="O12" s="409"/>
      <c r="P12" s="405"/>
      <c r="Q12" s="154"/>
      <c r="R12" s="155"/>
      <c r="S12" s="156"/>
      <c r="T12" s="156"/>
      <c r="U12" s="157"/>
      <c r="V12" s="103"/>
      <c r="W12" s="103"/>
    </row>
  </sheetData>
  <mergeCells count="37">
    <mergeCell ref="A6:B8"/>
    <mergeCell ref="A12:B12"/>
    <mergeCell ref="G12:K12"/>
    <mergeCell ref="M12:P12"/>
    <mergeCell ref="A10:B11"/>
    <mergeCell ref="C10:D10"/>
    <mergeCell ref="E10:F10"/>
    <mergeCell ref="G10:L10"/>
    <mergeCell ref="M10:P11"/>
    <mergeCell ref="Q10:U10"/>
    <mergeCell ref="G11:K11"/>
    <mergeCell ref="S11:T11"/>
    <mergeCell ref="C6:D6"/>
    <mergeCell ref="P6:S6"/>
    <mergeCell ref="C7:D7"/>
    <mergeCell ref="P7:S7"/>
    <mergeCell ref="C8:D8"/>
    <mergeCell ref="P8:S8"/>
    <mergeCell ref="T4:W4"/>
    <mergeCell ref="A4:B5"/>
    <mergeCell ref="C4:D5"/>
    <mergeCell ref="E4:F4"/>
    <mergeCell ref="G4:G5"/>
    <mergeCell ref="H4:H5"/>
    <mergeCell ref="I4:I5"/>
    <mergeCell ref="J4:K4"/>
    <mergeCell ref="L4:L5"/>
    <mergeCell ref="N4:N5"/>
    <mergeCell ref="O4:O5"/>
    <mergeCell ref="P4:S5"/>
    <mergeCell ref="B3:I3"/>
    <mergeCell ref="N3:W3"/>
    <mergeCell ref="B1:D1"/>
    <mergeCell ref="E1:T1"/>
    <mergeCell ref="U1:W1"/>
    <mergeCell ref="B2:I2"/>
    <mergeCell ref="U2:W2"/>
  </mergeCells>
  <pageMargins left="0.7" right="0.7" top="0.75" bottom="0.75" header="0.3" footer="0.3"/>
  <pageSetup paperSize="9" scale="28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Fiche d'analyse de Risque 18</vt:lpstr>
      <vt:lpstr>Fiche d'analyse de  Risque  19</vt:lpstr>
      <vt:lpstr>Fiche d'analyse de Risque 20</vt:lpstr>
      <vt:lpstr>Fiche d'analyse de Risque 21</vt:lpstr>
      <vt:lpstr>Fiche d'analyse de Risque 2022</vt:lpstr>
      <vt:lpstr>Fiche d'analyse de Risque 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qualite</dc:creator>
  <cp:lastModifiedBy>Sami BERDAOUI</cp:lastModifiedBy>
  <cp:lastPrinted>2023-04-03T13:16:19Z</cp:lastPrinted>
  <dcterms:created xsi:type="dcterms:W3CDTF">2016-03-11T07:17:14Z</dcterms:created>
  <dcterms:modified xsi:type="dcterms:W3CDTF">2023-04-03T13:29:17Z</dcterms:modified>
</cp:coreProperties>
</file>