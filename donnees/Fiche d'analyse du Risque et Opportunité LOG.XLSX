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erdaoui\Desktop\Resultat Qualité -Astuplast\Systéme documentaire\Fiches d'analyse de risque\"/>
    </mc:Choice>
  </mc:AlternateContent>
  <bookViews>
    <workbookView xWindow="0" yWindow="0" windowWidth="19200" windowHeight="7230" tabRatio="289" firstSheet="4" activeTab="5"/>
  </bookViews>
  <sheets>
    <sheet name="Fiche d'analyse de Risque 18" sheetId="2" r:id="rId1"/>
    <sheet name="Fiche de risque  19" sheetId="3" r:id="rId2"/>
    <sheet name="Fiche de risque  20 " sheetId="4" r:id="rId3"/>
    <sheet name="Fiche de risque  21" sheetId="5" r:id="rId4"/>
    <sheet name="Fiche de risque  2022" sheetId="6" r:id="rId5"/>
    <sheet name="Fiche de risque  2023" sheetId="7" r:id="rId6"/>
  </sheets>
  <calcPr calcId="152511"/>
</workbook>
</file>

<file path=xl/calcChain.xml><?xml version="1.0" encoding="utf-8"?>
<calcChain xmlns="http://schemas.openxmlformats.org/spreadsheetml/2006/main">
  <c r="M7" i="7" l="1"/>
  <c r="M8" i="7"/>
  <c r="M6" i="7"/>
  <c r="M6" i="6"/>
  <c r="M8" i="5"/>
  <c r="M7" i="5"/>
  <c r="M6" i="5"/>
  <c r="M7" i="4"/>
  <c r="M8" i="4"/>
  <c r="M9" i="4"/>
  <c r="M10" i="4"/>
  <c r="M11" i="4"/>
  <c r="M6" i="4"/>
  <c r="I7" i="3"/>
  <c r="I16" i="2"/>
  <c r="I15" i="2"/>
  <c r="I7" i="2"/>
  <c r="I10" i="2"/>
  <c r="I14" i="2"/>
  <c r="I13" i="2"/>
  <c r="I12" i="2"/>
  <c r="I11" i="2"/>
  <c r="I8" i="2"/>
  <c r="I6" i="2"/>
</calcChain>
</file>

<file path=xl/sharedStrings.xml><?xml version="1.0" encoding="utf-8"?>
<sst xmlns="http://schemas.openxmlformats.org/spreadsheetml/2006/main" count="624" uniqueCount="274">
  <si>
    <t>Risques</t>
  </si>
  <si>
    <t xml:space="preserve">Bref descriptif de l'action </t>
  </si>
  <si>
    <t>Responsable</t>
  </si>
  <si>
    <t>G</t>
  </si>
  <si>
    <t>O</t>
  </si>
  <si>
    <t>D</t>
  </si>
  <si>
    <t>IPR</t>
  </si>
  <si>
    <r>
      <t xml:space="preserve">Groupe APSYS Industries                                                                     </t>
    </r>
    <r>
      <rPr>
        <b/>
        <i/>
        <sz val="10"/>
        <rFont val="Arial"/>
        <family val="2"/>
      </rPr>
      <t xml:space="preserve">Division :  ASTUPLAST </t>
    </r>
    <r>
      <rPr>
        <b/>
        <i/>
        <sz val="11"/>
        <rFont val="Arial"/>
        <family val="2"/>
      </rPr>
      <t xml:space="preserve">        </t>
    </r>
  </si>
  <si>
    <t>MP éronnée (par rapport à l'OF)</t>
  </si>
  <si>
    <t>Quantité érronée (par rapport à l'OF)</t>
  </si>
  <si>
    <t>Indiponibilté du transporteur</t>
  </si>
  <si>
    <t xml:space="preserve"> Processus : Traitement des commandes clients &amp; industrialisation des produits </t>
  </si>
  <si>
    <t>EFFICACITE D'ACTION</t>
  </si>
  <si>
    <t>Actions à mettre en œuvre (voir détails au PAP)</t>
  </si>
  <si>
    <t xml:space="preserve">Evaluation de l'action </t>
  </si>
  <si>
    <t>Revoir l'avancement  et le MAJ de 02 plannings de 06 semaines ( pour le deux unités de fabrication)</t>
  </si>
  <si>
    <t xml:space="preserve">Une attention particulière aux éxigences du client : revue dossier, documentation, etc.avec les responsables d'unité de production </t>
  </si>
  <si>
    <t xml:space="preserve">Maitraiser  l'utilisation de GPAO  en interne </t>
  </si>
  <si>
    <t>Pilote Processus : R.Abassi</t>
  </si>
  <si>
    <t xml:space="preserve"> Analyse des OPPORTUNITES : </t>
  </si>
  <si>
    <t>Brève description de l'action</t>
  </si>
  <si>
    <t>OUI</t>
  </si>
  <si>
    <t>NON</t>
  </si>
  <si>
    <t xml:space="preserve">Estimation de délai érronée </t>
  </si>
  <si>
    <t xml:space="preserve">Absence de validation des personnes concernées </t>
  </si>
  <si>
    <t>Planning de 06 semaines non mis à jour</t>
  </si>
  <si>
    <t xml:space="preserve">* Validation de la commande  avec les concernés lors de l'étude de faisabilté
* Coopération avec l’équipe de production </t>
  </si>
  <si>
    <t xml:space="preserve">* Exigences clients non répectées
</t>
  </si>
  <si>
    <t xml:space="preserve">Evaluation du Risque </t>
  </si>
  <si>
    <t>Documents de fabrication non disponibles lors de la préparation de la MP</t>
  </si>
  <si>
    <t xml:space="preserve">Absence d'identification des produits stockés dans les racks de rangement et mélange des produits </t>
  </si>
  <si>
    <t xml:space="preserve">Manque de validation du produit contrôlé et risque de livrer des produits non validés </t>
  </si>
  <si>
    <t>Documents d'expedition incomplets</t>
  </si>
  <si>
    <t xml:space="preserve">Préparer un check list des documents qui servent pour l'export </t>
  </si>
  <si>
    <t xml:space="preserve">Absence de check list des documents qui servent pour l'export </t>
  </si>
  <si>
    <t xml:space="preserve">Le suivi après la production  est non éfficace </t>
  </si>
  <si>
    <t xml:space="preserve">Oubli de suivi </t>
  </si>
  <si>
    <t xml:space="preserve">Impact de Risque </t>
  </si>
  <si>
    <t xml:space="preserve">Impact des Opportunités </t>
  </si>
  <si>
    <t xml:space="preserve">Perturbation client final </t>
  </si>
  <si>
    <t>Perturbation planification de production</t>
  </si>
  <si>
    <t>Causes probables 5M - Main d'œuvre - Moyens - Milieu - Matière - Méthodes</t>
  </si>
  <si>
    <t>Critéres d'Evaluation de l'éfficacité des actions</t>
  </si>
  <si>
    <t xml:space="preserve">_ Tableau de planification  est  à jour </t>
  </si>
  <si>
    <t xml:space="preserve">Resp.Logistique </t>
  </si>
  <si>
    <t xml:space="preserve">Directeur  et  Resp.Logistique </t>
  </si>
  <si>
    <t>Resp.Magasin /Resp.Montage  et  Resp.injection</t>
  </si>
  <si>
    <t xml:space="preserve">_ Personnel peu sensibilisé au respect des consignes de fabrication                                                                      _ Information  Recu  de  client  est  incompléte </t>
  </si>
  <si>
    <t xml:space="preserve">Retard de validation </t>
  </si>
  <si>
    <t>Resp,Logistique  et  Resp.Qualité</t>
  </si>
  <si>
    <t>Réalisation des Eis dans le bon délai</t>
  </si>
  <si>
    <t xml:space="preserve">Reclamation client </t>
  </si>
  <si>
    <t>Resp.Qualité</t>
  </si>
  <si>
    <t xml:space="preserve">Pressence d'un Mono-transporteur </t>
  </si>
  <si>
    <t>Retard de livraison</t>
  </si>
  <si>
    <t xml:space="preserve">* Informer le responsable logistique de la date de la fin de production pour préparer àtemps les documents de livraison 
* Mise à jour la liste de prestataire de service  en ajoutons des  autres transporteurs </t>
  </si>
  <si>
    <t xml:space="preserve">Resp.Logistique /resp.injection /Resp,Montage  et  Directeur  </t>
  </si>
  <si>
    <t xml:space="preserve">Absence de retard  de Livraison </t>
  </si>
  <si>
    <t xml:space="preserve">information  enrigistré sur le check liste est claire </t>
  </si>
  <si>
    <t xml:space="preserve">Erreur de  prix   et  Erreur de  la  Qté </t>
  </si>
  <si>
    <t>Erreur de Facture</t>
  </si>
  <si>
    <t xml:space="preserve">Revu de Facture avant l'envoie par le Directeur </t>
  </si>
  <si>
    <t>Directeur</t>
  </si>
  <si>
    <t xml:space="preserve">Pas de facture Bloqué </t>
  </si>
  <si>
    <t xml:space="preserve">_  Absence de retrad d'envoi des commandes Clients"Resultat  de Taux de  service"                                            </t>
  </si>
  <si>
    <t>Process de Fabrication  est bien  stable   (  Zone bien identifier  / Ofs de production  sont validés ,,,,)</t>
  </si>
  <si>
    <t xml:space="preserve">Sensibilisation Les responsables  de chaque Secteur  </t>
  </si>
  <si>
    <t>_ Prix non met à jour                               _ Erreur de Saisie</t>
  </si>
  <si>
    <t xml:space="preserve">Déploiement des connaissances </t>
  </si>
  <si>
    <t>Origine de L'action</t>
  </si>
  <si>
    <t xml:space="preserve">Fiche Processus </t>
  </si>
  <si>
    <r>
      <rPr>
        <b/>
        <u/>
        <sz val="10"/>
        <rFont val="Calibri"/>
        <family val="2"/>
        <scheme val="minor"/>
      </rPr>
      <t>Activité3:</t>
    </r>
    <r>
      <rPr>
        <sz val="10"/>
        <rFont val="Calibri"/>
        <family val="2"/>
        <scheme val="minor"/>
      </rPr>
      <t xml:space="preserve"> Création OFs production et Préparation approvisionnements et mise à disposition (les étiquettes +OFs) à la production</t>
    </r>
  </si>
  <si>
    <r>
      <rPr>
        <b/>
        <u/>
        <sz val="10"/>
        <rFont val="Calibri"/>
        <family val="2"/>
        <scheme val="minor"/>
      </rPr>
      <t>Actvité1:</t>
    </r>
    <r>
      <rPr>
        <sz val="10"/>
        <rFont val="Calibri"/>
        <family val="2"/>
        <scheme val="minor"/>
      </rPr>
      <t xml:space="preserve"> Etude de faisabilité de la commande Client 
</t>
    </r>
  </si>
  <si>
    <r>
      <rPr>
        <b/>
        <u/>
        <sz val="10"/>
        <rFont val="Calibri"/>
        <family val="2"/>
        <scheme val="minor"/>
      </rPr>
      <t>Actvité2</t>
    </r>
    <r>
      <rPr>
        <sz val="10"/>
        <rFont val="Calibri"/>
        <family val="2"/>
        <scheme val="minor"/>
      </rPr>
      <t>: * Envoi de l’accusé de réception des commandes
* Planification Commande</t>
    </r>
  </si>
  <si>
    <r>
      <rPr>
        <b/>
        <u/>
        <sz val="10"/>
        <rFont val="Calibri"/>
        <family val="2"/>
        <scheme val="minor"/>
      </rPr>
      <t xml:space="preserve">Activité6:  </t>
    </r>
    <r>
      <rPr>
        <sz val="10"/>
        <rFont val="Calibri"/>
        <family val="2"/>
        <scheme val="minor"/>
      </rPr>
      <t xml:space="preserve">                                                   * Contact transporteur 
* Rédaction des documents relatifs aux livraisons</t>
    </r>
  </si>
  <si>
    <r>
      <rPr>
        <b/>
        <u/>
        <sz val="10"/>
        <rFont val="Calibri"/>
        <family val="2"/>
        <scheme val="minor"/>
      </rPr>
      <t>Activité5:</t>
    </r>
    <r>
      <rPr>
        <sz val="10"/>
        <rFont val="Calibri"/>
        <family val="2"/>
        <scheme val="minor"/>
      </rPr>
      <t xml:space="preserve">                                                       * Clôture des OFs production
* Stockage des produits finis et semi finis contrôlés</t>
    </r>
  </si>
  <si>
    <r>
      <rPr>
        <b/>
        <u/>
        <sz val="10"/>
        <rFont val="Calibri"/>
        <family val="2"/>
        <scheme val="minor"/>
      </rPr>
      <t>Activité4:</t>
    </r>
    <r>
      <rPr>
        <sz val="10"/>
        <rFont val="Calibri"/>
        <family val="2"/>
        <scheme val="minor"/>
      </rPr>
      <t xml:space="preserve"> Industrialisation des produits</t>
    </r>
  </si>
  <si>
    <r>
      <rPr>
        <b/>
        <u/>
        <sz val="10"/>
        <rFont val="Calibri"/>
        <family val="2"/>
        <scheme val="minor"/>
      </rPr>
      <t xml:space="preserve">Activité 7:  </t>
    </r>
    <r>
      <rPr>
        <sz val="10"/>
        <rFont val="Calibri"/>
        <family val="2"/>
        <scheme val="minor"/>
      </rPr>
      <t xml:space="preserve">                                                       * Préparation de l’expédition 
* Chargement</t>
    </r>
  </si>
  <si>
    <r>
      <rPr>
        <b/>
        <u/>
        <sz val="10"/>
        <rFont val="Calibri"/>
        <family val="2"/>
        <scheme val="minor"/>
      </rPr>
      <t>Activité8:</t>
    </r>
    <r>
      <rPr>
        <sz val="10"/>
        <rFont val="Calibri"/>
        <family val="2"/>
        <scheme val="minor"/>
      </rPr>
      <t xml:space="preserve"> Facturation</t>
    </r>
  </si>
  <si>
    <t>Situation D'urgence</t>
  </si>
  <si>
    <t>Fourniture  qui sert  pour l'approvisionnement est Monosources</t>
  </si>
  <si>
    <t xml:space="preserve">Perturbation delai de la production </t>
  </si>
  <si>
    <t xml:space="preserve">Manque d'attention </t>
  </si>
  <si>
    <t xml:space="preserve">Elargir  la liste des fournisseurs </t>
  </si>
  <si>
    <t>Resp.Logistique</t>
  </si>
  <si>
    <t xml:space="preserve">Pas de repture de stock  en interne </t>
  </si>
  <si>
    <t>Date de Clotûre</t>
  </si>
  <si>
    <t>Visa</t>
  </si>
  <si>
    <t>Retenu</t>
  </si>
  <si>
    <t>Critères d'évaluation de l'efficacité des actions</t>
  </si>
  <si>
    <t>Oui</t>
  </si>
  <si>
    <t>Non</t>
  </si>
  <si>
    <t>Date de Clôture</t>
  </si>
  <si>
    <t>X</t>
  </si>
  <si>
    <t xml:space="preserve">Formation  les Responsables  de production </t>
  </si>
  <si>
    <t xml:space="preserve">Resp.Logistique et Directeur </t>
  </si>
  <si>
    <t>Manupulation  correct par les concernés</t>
  </si>
  <si>
    <t>x</t>
  </si>
  <si>
    <t>Pas d'alerte  par  le Resp.Magasin</t>
  </si>
  <si>
    <t>SB</t>
  </si>
  <si>
    <t>Imprimée n° AST                                                     PRQ 01.17-01 B</t>
  </si>
  <si>
    <t xml:space="preserve">Fiche processus  </t>
  </si>
  <si>
    <t xml:space="preserve">Commande  client non traité </t>
  </si>
  <si>
    <t xml:space="preserve">Reception des  Commandes par  Email  non vérifier </t>
  </si>
  <si>
    <t xml:space="preserve">Intégration  de la reception des  commandes client  dans Cegid </t>
  </si>
  <si>
    <t>Responsable Logistique +Responsable Logistique  Groupe</t>
  </si>
  <si>
    <t xml:space="preserve">*Pas de  Retard  de  traitement de  commande client               * Mode de reception  des commandes client  est  bien  Securisé  (  par Email et Cegid) </t>
  </si>
  <si>
    <r>
      <rPr>
        <sz val="10"/>
        <color rgb="FFFF0000"/>
        <rFont val="Calibri"/>
        <family val="2"/>
        <scheme val="minor"/>
      </rPr>
      <t xml:space="preserve">* Validation MP qui sert pour la fabrication  </t>
    </r>
    <r>
      <rPr>
        <sz val="10"/>
        <color theme="1"/>
        <rFont val="Calibri"/>
        <family val="2"/>
        <scheme val="minor"/>
      </rPr>
      <t xml:space="preserve">
* Définir la zone d'attente montage 
</t>
    </r>
  </si>
  <si>
    <t>Reporté en 2019</t>
  </si>
  <si>
    <t>Reporté en                                     03-2020</t>
  </si>
  <si>
    <r>
      <rPr>
        <b/>
        <sz val="10"/>
        <color rgb="FFFF0000"/>
        <rFont val="Calibri"/>
        <family val="2"/>
        <scheme val="minor"/>
      </rPr>
      <t>*Formation  Responsable Magasin et  magasinier sur l'impression des Ofs de système CEGID</t>
    </r>
    <r>
      <rPr>
        <sz val="10"/>
        <color theme="1"/>
        <rFont val="Calibri"/>
        <family val="2"/>
        <scheme val="minor"/>
      </rPr>
      <t xml:space="preserve">
</t>
    </r>
  </si>
  <si>
    <t xml:space="preserve">Process de Fabrication  est bien  stable   </t>
  </si>
  <si>
    <t xml:space="preserve">Livraison de marchandise </t>
  </si>
  <si>
    <t xml:space="preserve">Erreur  de  destination </t>
  </si>
  <si>
    <t xml:space="preserve">Export en groupage </t>
  </si>
  <si>
    <t>Ajoute l'adresse de client sur  chaque colis</t>
  </si>
  <si>
    <t>Responsable Magasin</t>
  </si>
  <si>
    <t xml:space="preserve">Satisfaction client  </t>
  </si>
  <si>
    <t xml:space="preserve">Stockage marchandise </t>
  </si>
  <si>
    <t xml:space="preserve">Qualité produit </t>
  </si>
  <si>
    <t xml:space="preserve">Carton de produit  se tombent lors de déchargement  ou bien  chargement Rack </t>
  </si>
  <si>
    <t xml:space="preserve">Mettre de bares d'isolation  pour garantir le securité produit et personnel </t>
  </si>
  <si>
    <t xml:space="preserve">Responsable magasin et responsable technique </t>
  </si>
  <si>
    <t xml:space="preserve">Pas d'accident </t>
  </si>
  <si>
    <t>Racks de stockage   ne  sont  pas  bien sécurisé</t>
  </si>
  <si>
    <t xml:space="preserve">Valorisation de stock </t>
  </si>
  <si>
    <t xml:space="preserve">liste de  prix produit  vendu  n'est  pas  à jour </t>
  </si>
  <si>
    <t>variation de prix d'achat de MP</t>
  </si>
  <si>
    <t>Mise à jour de prix produit Sur CEGID</t>
  </si>
  <si>
    <t>Responsable logistique et  responsable magasin</t>
  </si>
  <si>
    <t>Resultat  de comptabilité est  fiable</t>
  </si>
  <si>
    <t>Produit  non identifier  dans la liste de produit à contrôlé</t>
  </si>
  <si>
    <t xml:space="preserve">Mettre  à jour la liste  de produit  à controler  à la reception   </t>
  </si>
  <si>
    <t xml:space="preserve">Responsable Qualité </t>
  </si>
  <si>
    <t xml:space="preserve">Satisfaction des responsables de production  et  pas de retard  engendré  sur la production </t>
  </si>
  <si>
    <t>Reporté en 2020</t>
  </si>
  <si>
    <t>Lancement de Nouveau Projet : Production de Produit Crémaillére  Wesco</t>
  </si>
  <si>
    <t xml:space="preserve">La non Compatibilité  de l'encre avec la Matiére </t>
  </si>
  <si>
    <t xml:space="preserve">Choix de l'encre est erronée </t>
  </si>
  <si>
    <t xml:space="preserve">Defnir une liste  qui montre la compatibilité de l'encre utiliser avec la matiére plastique convenable </t>
  </si>
  <si>
    <t xml:space="preserve">Pas de retard  de projet et le bon choix utiliser  de l'encre </t>
  </si>
  <si>
    <t xml:space="preserve">Interne </t>
  </si>
  <si>
    <t xml:space="preserve">Externe </t>
  </si>
  <si>
    <t>Gravité " G"</t>
  </si>
  <si>
    <t>Occurrence (Fréquence , Probabilité  d'apparition  de la défaillance )    "O"</t>
  </si>
  <si>
    <t xml:space="preserve">Actions Existantes </t>
  </si>
  <si>
    <t xml:space="preserve">Occurrence </t>
  </si>
  <si>
    <t>Détections</t>
  </si>
  <si>
    <t>Détectabilité "D"</t>
  </si>
  <si>
    <t>Evaluation du Risque</t>
  </si>
  <si>
    <t xml:space="preserve">Responsable </t>
  </si>
  <si>
    <t xml:space="preserve">Délégation des nouvelles  tâches aux colloborateur en interne </t>
  </si>
  <si>
    <t>Imprimée n° AST                                                     PRQ 01.17-01 C</t>
  </si>
  <si>
    <t>FM</t>
  </si>
  <si>
    <t xml:space="preserve">Satisfaction  Client </t>
  </si>
  <si>
    <r>
      <rPr>
        <b/>
        <u/>
        <sz val="16"/>
        <rFont val="Times New Roman"/>
        <family val="1"/>
      </rPr>
      <t>Actvité1:</t>
    </r>
    <r>
      <rPr>
        <sz val="16"/>
        <rFont val="Times New Roman"/>
        <family val="1"/>
      </rPr>
      <t xml:space="preserve"> Etude de faisabilité de la commande Client 
</t>
    </r>
  </si>
  <si>
    <t>Fiche d'analyse du Risque et Opportunité  Processus                                    Année: 2018</t>
  </si>
  <si>
    <t xml:space="preserve">Fiche d'analyse du Risque et Opportunité  Processus                                        Année : 2019                      </t>
  </si>
  <si>
    <t>Actvité2: * Envoi de l’accusé de réception des commandes
* Planification Commande</t>
  </si>
  <si>
    <t xml:space="preserve">Causes probables 5M </t>
  </si>
  <si>
    <t xml:space="preserve">Erreur  de  planification </t>
  </si>
  <si>
    <t>Retard  production</t>
  </si>
  <si>
    <t>Verrouillage Par GPAO</t>
  </si>
  <si>
    <t xml:space="preserve">planning previsionel </t>
  </si>
  <si>
    <t xml:space="preserve">Arrêt  l'utilisation de planning de 06 Semaine </t>
  </si>
  <si>
    <t xml:space="preserve">Responsable Logistique +Directeur </t>
  </si>
  <si>
    <t xml:space="preserve">Ameliorer la planification  à l'aide  d'utilisation planning previsionel PROD </t>
  </si>
  <si>
    <t xml:space="preserve">Satisafction client </t>
  </si>
  <si>
    <t xml:space="preserve">Verification par  le  directeur  </t>
  </si>
  <si>
    <t xml:space="preserve">*Pas de  Retard  de  traitement de  commande client                                    * Mode de reception  des commandes client  est  bien  Securisé  (  par Email et Cegid) </t>
  </si>
  <si>
    <t>Reporté 06-2021</t>
  </si>
  <si>
    <t>Envoi erronnée</t>
  </si>
  <si>
    <t xml:space="preserve">Realisation des photos de chaque export </t>
  </si>
  <si>
    <t xml:space="preserve">Facturation erronée </t>
  </si>
  <si>
    <t>Retard de paiement</t>
  </si>
  <si>
    <t xml:space="preserve">Stockage de fourniture non controlé ou bien non verifier  lors de reception </t>
  </si>
  <si>
    <t>perturbation production</t>
  </si>
  <si>
    <t xml:space="preserve">Commande non soldé </t>
  </si>
  <si>
    <t>Contrôle Reception</t>
  </si>
  <si>
    <t>Repture de stock</t>
  </si>
  <si>
    <t>Retard Commande à realiser</t>
  </si>
  <si>
    <t xml:space="preserve">Fiche d'analyse du Risque et OpportunitéProcessus                                                                                                                                                             Année : 2020                                                 </t>
  </si>
  <si>
    <t>Date  de Surveillence : 26/10/2020</t>
  </si>
  <si>
    <t>Date  de surveillance  : 03/06/2020</t>
  </si>
  <si>
    <t>Date  de surveillance :03/06/2020</t>
  </si>
  <si>
    <t xml:space="preserve">Satisfaction client </t>
  </si>
  <si>
    <t>Fiche d'analyse du Risque et Opportunité  Processus                                                                                                                                                                                                                      Année :2021</t>
  </si>
  <si>
    <t>S.B</t>
  </si>
  <si>
    <t xml:space="preserve">Exonerations d'impôts sur  le  marchandise </t>
  </si>
  <si>
    <t xml:space="preserve">Developpement  de marché </t>
  </si>
  <si>
    <t>Satisfaction Siége  Apsys</t>
  </si>
  <si>
    <t xml:space="preserve">Responsable Logistique +Responsable Logistique  Siége Apsys </t>
  </si>
  <si>
    <t>Responsable Logistique +Directeur  Astuplast</t>
  </si>
  <si>
    <t>Responsable Logistique  et Directeur Astuplast</t>
  </si>
  <si>
    <t xml:space="preserve">Ameliorer la planification  à l'aide  d'utilisation planning previsionnel PROD </t>
  </si>
  <si>
    <t xml:space="preserve">Maintenir la relation avec notre groupe pour s'assurer de la bonne  vision en externe </t>
  </si>
  <si>
    <t xml:space="preserve">Groupe APSYS Industries                                                                     Division :  ASTUPLAST         </t>
  </si>
  <si>
    <t xml:space="preserve">Efficacité du maitraise les activités de  processus  suite  l'atteinte  l'indicateur  à l'objectif  et  son stabilité </t>
  </si>
  <si>
    <t xml:space="preserve">Pas d'arrêt de production </t>
  </si>
  <si>
    <t xml:space="preserve">stabilité l'indicateur de  taux de service  </t>
  </si>
  <si>
    <t>Achat  MP</t>
  </si>
  <si>
    <t xml:space="preserve">Mauvaise Planification des Achats </t>
  </si>
  <si>
    <t>Matiére &amp; service  NC</t>
  </si>
  <si>
    <t>Perturbation Commande client</t>
  </si>
  <si>
    <t xml:space="preserve">Selection des Fournisseurs basé sur des critéres autre que la bonne qualité </t>
  </si>
  <si>
    <t>Instruction de selection et evaluation fournisseurs</t>
  </si>
  <si>
    <t xml:space="preserve">Questionnaire d'évaluation </t>
  </si>
  <si>
    <t xml:space="preserve">Responsable Logistique </t>
  </si>
  <si>
    <t xml:space="preserve">Pas d'arrêt  production  et pas de retard détecté  sur les livraisons du client </t>
  </si>
  <si>
    <t xml:space="preserve">Sous estimation ou sur estimations des besoins en achat </t>
  </si>
  <si>
    <t xml:space="preserve">Retard de  Livraison </t>
  </si>
  <si>
    <t>RAS</t>
  </si>
  <si>
    <t>Mauvais choix de la periode d'achat</t>
  </si>
  <si>
    <t>ERP: CEGID</t>
  </si>
  <si>
    <t xml:space="preserve">Inventaire </t>
  </si>
  <si>
    <t xml:space="preserve">Pas des  erreurs Quantitatifs </t>
  </si>
  <si>
    <t>planification production</t>
  </si>
  <si>
    <t xml:space="preserve">Email </t>
  </si>
  <si>
    <t xml:space="preserve">Suivi Etat  de  bilan des commandes recu à  chaque semaine </t>
  </si>
  <si>
    <t xml:space="preserve">*Pas de  Retard  de  traitement de  commande client                                    * Mode de reception  des commandes client  est  bien  Securisé  </t>
  </si>
  <si>
    <t>Verrouillage Par CEGID</t>
  </si>
  <si>
    <t xml:space="preserve">planning previsionel-Prod </t>
  </si>
  <si>
    <t>Revoir les critéres de selection de fournisseur MP</t>
  </si>
  <si>
    <t>Definir et mettre un stock de sécurité pour les MP qui tournent souvent</t>
  </si>
  <si>
    <t xml:space="preserve">Appartenance à un  groupe  francais  </t>
  </si>
  <si>
    <t xml:space="preserve">Responsable Logistique  </t>
  </si>
  <si>
    <t xml:space="preserve">Renforcé le savoir être  et savoir faire de deux  acteurs </t>
  </si>
  <si>
    <t xml:space="preserve">Oublis de realisation </t>
  </si>
  <si>
    <t xml:space="preserve">perturbation  production </t>
  </si>
  <si>
    <t xml:space="preserve">insatisfaction Client </t>
  </si>
  <si>
    <t>Commande Client : Report  fréquent de  date  de laivraison</t>
  </si>
  <si>
    <t xml:space="preserve">Demande Client </t>
  </si>
  <si>
    <t xml:space="preserve">Cegid </t>
  </si>
  <si>
    <t>Cegid</t>
  </si>
  <si>
    <t xml:space="preserve">Information  les concernés à chaque report </t>
  </si>
  <si>
    <t>Responsable Logistique</t>
  </si>
  <si>
    <t xml:space="preserve">pas de reclamation  Client </t>
  </si>
  <si>
    <t>Date  de Surveillance :09/12/2021</t>
  </si>
  <si>
    <t>Reporté en 2022</t>
  </si>
  <si>
    <t>Fiche d'analyse du Risque et Opportunité  Processus                                                                                                                                                                                                                      Année :2022</t>
  </si>
  <si>
    <t xml:space="preserve">Pas de Reclamation  Client </t>
  </si>
  <si>
    <t xml:space="preserve">Pas des  Erreurs Quantitatifs </t>
  </si>
  <si>
    <t>S.berdaoui</t>
  </si>
  <si>
    <t>Fiche d'analyse du Risque et Opportunité  Processus                                                                                                                                                                                                                      Année :2023</t>
  </si>
  <si>
    <t xml:space="preserve">Exonérations d'impôts sur  le  marchandise </t>
  </si>
  <si>
    <t>Commande Client : Report  fréquent de  date  de livraison</t>
  </si>
  <si>
    <t>Perturbation fonctionnement CEGID</t>
  </si>
  <si>
    <t>Erreur lors de saisis les éléments d'entrées d'un OF au niveau ERP ( Qté produit erronée , Qté Rebuté Erronée , ,,,)</t>
  </si>
  <si>
    <t>Fonctionnement  ERP "CEGID"</t>
  </si>
  <si>
    <t>Inventaire</t>
  </si>
  <si>
    <t>Surveillance Quotidiennement le bon Fonctionnement de CEGID</t>
  </si>
  <si>
    <t>Réflexion</t>
  </si>
  <si>
    <t>Traitement Commande Client</t>
  </si>
  <si>
    <t>Pas de perturbation sur les commandes clients</t>
  </si>
  <si>
    <t xml:space="preserve">Appartenance à un  groupe  français  </t>
  </si>
  <si>
    <t xml:space="preserve">Développement  de marché </t>
  </si>
  <si>
    <t>Satisfaction Siège  Apsys</t>
  </si>
  <si>
    <t>Critères d'Evaluation de l'efficacité des actions</t>
  </si>
  <si>
    <t>Matière &amp; service  NC</t>
  </si>
  <si>
    <t xml:space="preserve">Sélection des Fournisseurs basé sur des critères autre que la bonne qualité </t>
  </si>
  <si>
    <t>Instruction de sélection et évaluation fournisseurs</t>
  </si>
  <si>
    <t>Revoir les critères de sélection de fournisseur MP</t>
  </si>
  <si>
    <t>Date  de surveillance :03/01/2023</t>
  </si>
  <si>
    <t>Responsable Logistique &amp; Responsable Magasin</t>
  </si>
  <si>
    <t>Service Production</t>
  </si>
  <si>
    <t>Perturbation  de planning d'approvisionnement  montage</t>
  </si>
  <si>
    <t xml:space="preserve">Perturbation horaire travail   </t>
  </si>
  <si>
    <t xml:space="preserve">Absence de planing montage bien renseigné par la priorité </t>
  </si>
  <si>
    <t xml:space="preserve">Communication interne </t>
  </si>
  <si>
    <t>Mettre en place un planning IDEM Injection  ( suite le projet de Management visuel)</t>
  </si>
  <si>
    <t xml:space="preserve">Responsable Production  </t>
  </si>
  <si>
    <t xml:space="preserve">Satisafaction service logistique </t>
  </si>
  <si>
    <t>Date  de surveillance :21/12/2022</t>
  </si>
  <si>
    <t>Reporté en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</si>
</sst>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i/>
      <sz val="10"/>
      <name val="Arial"/>
      <family val="2"/>
    </font>
    <font>
      <b/>
      <sz val="24"/>
      <name val="Arial Black"/>
      <family val="2"/>
    </font>
    <font>
      <b/>
      <sz val="10"/>
      <name val="Times New Roman"/>
      <family val="1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Verdana"/>
      <family val="2"/>
    </font>
    <font>
      <sz val="48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6"/>
      <color theme="1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6"/>
      <name val="Arial"/>
      <family val="2"/>
    </font>
    <font>
      <sz val="10"/>
      <color rgb="FFFF0000"/>
      <name val="Calibri"/>
      <family val="2"/>
      <scheme val="minor"/>
    </font>
    <font>
      <sz val="10"/>
      <name val="Times New Roman"/>
      <family val="1"/>
    </font>
    <font>
      <b/>
      <sz val="10"/>
      <color rgb="FFFF000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  <font>
      <b/>
      <i/>
      <sz val="14"/>
      <color theme="1"/>
      <name val="Times New Roman"/>
      <family val="1"/>
    </font>
    <font>
      <sz val="18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8"/>
      <name val="Arial"/>
      <family val="2"/>
    </font>
    <font>
      <sz val="16"/>
      <color rgb="FFFF0000"/>
      <name val="Times New Roman"/>
      <family val="1"/>
    </font>
    <font>
      <sz val="11"/>
      <name val="Calibri"/>
      <family val="2"/>
      <scheme val="minor"/>
    </font>
    <font>
      <sz val="24"/>
      <name val="Times New Roman"/>
      <family val="1"/>
    </font>
    <font>
      <sz val="2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1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1">
    <xf numFmtId="0" fontId="0" fillId="0" borderId="0" xfId="0"/>
    <xf numFmtId="0" fontId="8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6" fillId="0" borderId="8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49" fontId="1" fillId="0" borderId="0" xfId="0" applyNumberFormat="1" applyFont="1" applyBorder="1" applyAlignment="1">
      <alignment vertical="top" textRotation="90" wrapText="1"/>
    </xf>
    <xf numFmtId="0" fontId="0" fillId="0" borderId="0" xfId="0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 wrapText="1"/>
    </xf>
    <xf numFmtId="0" fontId="9" fillId="4" borderId="0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textRotation="90"/>
    </xf>
    <xf numFmtId="0" fontId="8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vertical="top" wrapText="1"/>
    </xf>
    <xf numFmtId="0" fontId="19" fillId="0" borderId="1" xfId="0" applyFont="1" applyBorder="1" applyAlignment="1">
      <alignment horizontal="center" vertical="top"/>
    </xf>
    <xf numFmtId="0" fontId="19" fillId="4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14" fontId="17" fillId="0" borderId="1" xfId="0" applyNumberFormat="1" applyFont="1" applyBorder="1" applyAlignment="1">
      <alignment vertical="top" wrapText="1"/>
    </xf>
    <xf numFmtId="0" fontId="21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9" fillId="4" borderId="0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22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22" fillId="4" borderId="2" xfId="0" applyFont="1" applyFill="1" applyBorder="1" applyAlignment="1">
      <alignment horizontal="center" vertical="top" wrapText="1"/>
    </xf>
    <xf numFmtId="0" fontId="22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14" fontId="17" fillId="4" borderId="1" xfId="0" applyNumberFormat="1" applyFont="1" applyFill="1" applyBorder="1" applyAlignment="1">
      <alignment vertical="top" wrapText="1"/>
    </xf>
    <xf numFmtId="0" fontId="18" fillId="4" borderId="1" xfId="0" applyFont="1" applyFill="1" applyBorder="1" applyAlignment="1">
      <alignment horizontal="center" vertical="top" wrapText="1"/>
    </xf>
    <xf numFmtId="0" fontId="21" fillId="4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9" fillId="4" borderId="0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14" fillId="3" borderId="3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9" fillId="4" borderId="0" xfId="0" applyFont="1" applyFill="1" applyBorder="1" applyAlignment="1">
      <alignment horizontal="left" vertical="top"/>
    </xf>
    <xf numFmtId="0" fontId="26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  <xf numFmtId="0" fontId="13" fillId="4" borderId="0" xfId="0" applyFont="1" applyFill="1" applyBorder="1" applyAlignment="1">
      <alignment vertical="top" wrapText="1"/>
    </xf>
    <xf numFmtId="0" fontId="13" fillId="4" borderId="0" xfId="0" applyFont="1" applyFill="1" applyBorder="1" applyAlignment="1">
      <alignment horizontal="center" vertical="top" wrapText="1"/>
    </xf>
    <xf numFmtId="0" fontId="16" fillId="4" borderId="0" xfId="0" applyFont="1" applyFill="1" applyBorder="1" applyAlignment="1">
      <alignment vertical="top" wrapText="1"/>
    </xf>
    <xf numFmtId="0" fontId="15" fillId="4" borderId="0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9" fillId="4" borderId="0" xfId="0" applyFont="1" applyFill="1" applyBorder="1" applyAlignment="1">
      <alignment horizontal="left" vertical="top"/>
    </xf>
    <xf numFmtId="0" fontId="13" fillId="4" borderId="0" xfId="0" applyFont="1" applyFill="1" applyBorder="1" applyAlignment="1">
      <alignment horizontal="center" vertical="top" wrapText="1"/>
    </xf>
    <xf numFmtId="0" fontId="27" fillId="0" borderId="3" xfId="0" applyFont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27" fillId="4" borderId="2" xfId="0" applyFont="1" applyFill="1" applyBorder="1" applyAlignment="1">
      <alignment horizontal="center" vertical="top" wrapText="1"/>
    </xf>
    <xf numFmtId="0" fontId="27" fillId="5" borderId="2" xfId="0" applyFont="1" applyFill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26" fillId="4" borderId="2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textRotation="90" wrapText="1"/>
    </xf>
    <xf numFmtId="0" fontId="27" fillId="0" borderId="1" xfId="0" applyFont="1" applyBorder="1" applyAlignment="1">
      <alignment horizontal="left" vertical="top" wrapText="1"/>
    </xf>
    <xf numFmtId="0" fontId="27" fillId="7" borderId="2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center" vertical="top"/>
    </xf>
    <xf numFmtId="0" fontId="27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 wrapText="1"/>
    </xf>
    <xf numFmtId="0" fontId="30" fillId="3" borderId="3" xfId="0" applyFont="1" applyFill="1" applyBorder="1" applyAlignment="1">
      <alignment horizontal="center" vertical="top" wrapText="1"/>
    </xf>
    <xf numFmtId="14" fontId="12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2" fillId="4" borderId="1" xfId="0" applyFont="1" applyFill="1" applyBorder="1" applyAlignment="1">
      <alignment horizontal="left" vertical="top" wrapText="1"/>
    </xf>
    <xf numFmtId="0" fontId="27" fillId="4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vertical="top" wrapText="1"/>
    </xf>
    <xf numFmtId="0" fontId="26" fillId="4" borderId="1" xfId="0" applyFont="1" applyFill="1" applyBorder="1" applyAlignment="1">
      <alignment horizontal="center" vertical="top" wrapText="1"/>
    </xf>
    <xf numFmtId="0" fontId="31" fillId="0" borderId="8" xfId="0" applyFont="1" applyBorder="1" applyAlignment="1">
      <alignment vertical="top"/>
    </xf>
    <xf numFmtId="0" fontId="12" fillId="0" borderId="6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34" fillId="4" borderId="0" xfId="0" applyFont="1" applyFill="1" applyBorder="1" applyAlignment="1">
      <alignment horizontal="left" vertical="top"/>
    </xf>
    <xf numFmtId="0" fontId="29" fillId="3" borderId="1" xfId="0" applyFont="1" applyFill="1" applyBorder="1" applyAlignment="1">
      <alignment vertical="top" wrapText="1"/>
    </xf>
    <xf numFmtId="0" fontId="29" fillId="3" borderId="3" xfId="0" applyFont="1" applyFill="1" applyBorder="1" applyAlignment="1">
      <alignment horizontal="center" vertical="top" wrapText="1"/>
    </xf>
    <xf numFmtId="0" fontId="26" fillId="3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vertical="center"/>
    </xf>
    <xf numFmtId="14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27" fillId="4" borderId="2" xfId="0" applyFont="1" applyFill="1" applyBorder="1" applyAlignment="1">
      <alignment horizontal="left" vertical="center" wrapText="1"/>
    </xf>
    <xf numFmtId="0" fontId="27" fillId="4" borderId="2" xfId="0" applyFont="1" applyFill="1" applyBorder="1" applyAlignment="1">
      <alignment horizontal="center" vertical="center" wrapText="1"/>
    </xf>
    <xf numFmtId="14" fontId="27" fillId="4" borderId="2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17" fontId="12" fillId="0" borderId="1" xfId="0" applyNumberFormat="1" applyFont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left" vertical="top" wrapText="1"/>
    </xf>
    <xf numFmtId="0" fontId="13" fillId="4" borderId="0" xfId="0" applyFont="1" applyFill="1" applyBorder="1" applyAlignment="1">
      <alignment horizontal="center" vertical="top" wrapText="1"/>
    </xf>
    <xf numFmtId="0" fontId="26" fillId="3" borderId="3" xfId="0" applyFont="1" applyFill="1" applyBorder="1" applyAlignment="1">
      <alignment horizontal="center" vertical="top" wrapText="1"/>
    </xf>
    <xf numFmtId="0" fontId="26" fillId="3" borderId="2" xfId="0" applyFont="1" applyFill="1" applyBorder="1" applyAlignment="1">
      <alignment horizontal="center" vertical="top" wrapText="1"/>
    </xf>
    <xf numFmtId="0" fontId="26" fillId="3" borderId="7" xfId="0" applyFont="1" applyFill="1" applyBorder="1" applyAlignment="1">
      <alignment horizontal="center" vertical="top" wrapText="1"/>
    </xf>
    <xf numFmtId="0" fontId="35" fillId="0" borderId="8" xfId="0" applyFont="1" applyBorder="1" applyAlignment="1">
      <alignment vertical="top"/>
    </xf>
    <xf numFmtId="0" fontId="32" fillId="0" borderId="6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27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left" vertical="top" wrapText="1"/>
    </xf>
    <xf numFmtId="0" fontId="27" fillId="4" borderId="1" xfId="0" applyFont="1" applyFill="1" applyBorder="1" applyAlignment="1">
      <alignment horizontal="left" vertical="top" wrapText="1"/>
    </xf>
    <xf numFmtId="0" fontId="27" fillId="4" borderId="1" xfId="0" applyFont="1" applyFill="1" applyBorder="1" applyAlignment="1">
      <alignment horizontal="left" vertical="top" wrapText="1"/>
    </xf>
    <xf numFmtId="0" fontId="9" fillId="4" borderId="0" xfId="0" applyFont="1" applyFill="1" applyBorder="1" applyAlignment="1">
      <alignment horizontal="left" vertical="top"/>
    </xf>
    <xf numFmtId="0" fontId="12" fillId="0" borderId="6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left" vertical="top" wrapText="1"/>
    </xf>
    <xf numFmtId="0" fontId="13" fillId="4" borderId="0" xfId="0" applyFont="1" applyFill="1" applyBorder="1" applyAlignment="1">
      <alignment horizontal="center" vertical="top" wrapText="1"/>
    </xf>
    <xf numFmtId="0" fontId="26" fillId="3" borderId="1" xfId="0" applyFont="1" applyFill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26" fillId="3" borderId="2" xfId="0" applyFont="1" applyFill="1" applyBorder="1" applyAlignment="1">
      <alignment horizontal="center" vertical="top" wrapText="1"/>
    </xf>
    <xf numFmtId="0" fontId="26" fillId="3" borderId="3" xfId="0" applyFont="1" applyFill="1" applyBorder="1" applyAlignment="1">
      <alignment horizontal="center" vertical="top" wrapText="1"/>
    </xf>
    <xf numFmtId="0" fontId="26" fillId="3" borderId="7" xfId="0" applyFont="1" applyFill="1" applyBorder="1" applyAlignment="1">
      <alignment horizontal="center" vertical="top" wrapText="1"/>
    </xf>
    <xf numFmtId="14" fontId="26" fillId="4" borderId="2" xfId="0" applyNumberFormat="1" applyFont="1" applyFill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37" fillId="4" borderId="1" xfId="0" applyFont="1" applyFill="1" applyBorder="1" applyAlignment="1">
      <alignment horizontal="center" vertical="top" wrapText="1"/>
    </xf>
    <xf numFmtId="0" fontId="9" fillId="4" borderId="0" xfId="0" applyFont="1" applyFill="1" applyBorder="1" applyAlignment="1">
      <alignment horizontal="left" vertical="top"/>
    </xf>
    <xf numFmtId="0" fontId="12" fillId="0" borderId="6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left" vertical="top" wrapText="1"/>
    </xf>
    <xf numFmtId="0" fontId="13" fillId="4" borderId="0" xfId="0" applyFont="1" applyFill="1" applyBorder="1" applyAlignment="1">
      <alignment horizontal="center" vertical="top" wrapText="1"/>
    </xf>
    <xf numFmtId="0" fontId="26" fillId="3" borderId="1" xfId="0" applyFont="1" applyFill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26" fillId="3" borderId="2" xfId="0" applyFont="1" applyFill="1" applyBorder="1" applyAlignment="1">
      <alignment horizontal="center" vertical="top" wrapText="1"/>
    </xf>
    <xf numFmtId="0" fontId="26" fillId="3" borderId="3" xfId="0" applyFont="1" applyFill="1" applyBorder="1" applyAlignment="1">
      <alignment horizontal="center" vertical="top" wrapText="1"/>
    </xf>
    <xf numFmtId="0" fontId="26" fillId="3" borderId="7" xfId="0" applyFont="1" applyFill="1" applyBorder="1" applyAlignment="1">
      <alignment horizontal="center" vertical="top" wrapText="1"/>
    </xf>
    <xf numFmtId="0" fontId="38" fillId="0" borderId="0" xfId="0" applyFont="1" applyAlignment="1">
      <alignment vertical="top"/>
    </xf>
    <xf numFmtId="0" fontId="27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26" fillId="3" borderId="2" xfId="0" applyFont="1" applyFill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39" fillId="4" borderId="2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4" fontId="27" fillId="4" borderId="1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0" fontId="13" fillId="3" borderId="6" xfId="0" applyFont="1" applyFill="1" applyBorder="1" applyAlignment="1">
      <alignment horizontal="center" vertical="top" wrapText="1"/>
    </xf>
    <xf numFmtId="0" fontId="15" fillId="3" borderId="4" xfId="0" applyFont="1" applyFill="1" applyBorder="1" applyAlignment="1">
      <alignment horizontal="center" vertical="top" wrapText="1"/>
    </xf>
    <xf numFmtId="17" fontId="16" fillId="0" borderId="5" xfId="0" applyNumberFormat="1" applyFont="1" applyBorder="1" applyAlignment="1">
      <alignment horizontal="center" vertical="top" wrapText="1"/>
    </xf>
    <xf numFmtId="17" fontId="16" fillId="0" borderId="4" xfId="0" applyNumberFormat="1" applyFont="1" applyBorder="1" applyAlignment="1">
      <alignment horizontal="center" vertical="top" wrapText="1"/>
    </xf>
    <xf numFmtId="17" fontId="16" fillId="0" borderId="6" xfId="0" applyNumberFormat="1" applyFont="1" applyBorder="1" applyAlignment="1">
      <alignment horizontal="center" vertical="top" wrapText="1"/>
    </xf>
    <xf numFmtId="0" fontId="16" fillId="4" borderId="5" xfId="0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left" vertical="top" wrapText="1"/>
    </xf>
    <xf numFmtId="0" fontId="16" fillId="4" borderId="6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14" fillId="3" borderId="11" xfId="0" applyFont="1" applyFill="1" applyBorder="1" applyAlignment="1">
      <alignment horizontal="center" vertical="top" wrapText="1"/>
    </xf>
    <xf numFmtId="0" fontId="14" fillId="3" borderId="12" xfId="0" applyFont="1" applyFill="1" applyBorder="1" applyAlignment="1">
      <alignment horizontal="center" vertical="top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top" wrapText="1"/>
    </xf>
    <xf numFmtId="0" fontId="13" fillId="3" borderId="8" xfId="0" applyFont="1" applyFill="1" applyBorder="1" applyAlignment="1">
      <alignment horizontal="center" vertical="top" wrapText="1"/>
    </xf>
    <xf numFmtId="0" fontId="13" fillId="3" borderId="12" xfId="0" applyFont="1" applyFill="1" applyBorder="1" applyAlignment="1">
      <alignment horizontal="center" vertical="top" wrapText="1"/>
    </xf>
    <xf numFmtId="0" fontId="13" fillId="3" borderId="13" xfId="0" applyFont="1" applyFill="1" applyBorder="1" applyAlignment="1">
      <alignment horizontal="center" vertical="top" wrapText="1"/>
    </xf>
    <xf numFmtId="0" fontId="13" fillId="3" borderId="9" xfId="0" applyFont="1" applyFill="1" applyBorder="1" applyAlignment="1">
      <alignment horizontal="center" vertical="top" wrapText="1"/>
    </xf>
    <xf numFmtId="0" fontId="13" fillId="3" borderId="10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8" fillId="4" borderId="6" xfId="0" applyFont="1" applyFill="1" applyBorder="1" applyAlignment="1">
      <alignment horizontal="left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14" fontId="17" fillId="0" borderId="2" xfId="0" applyNumberFormat="1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17" fontId="19" fillId="0" borderId="2" xfId="0" applyNumberFormat="1" applyFont="1" applyBorder="1" applyAlignment="1">
      <alignment horizontal="center" vertical="top"/>
    </xf>
    <xf numFmtId="17" fontId="19" fillId="0" borderId="3" xfId="0" applyNumberFormat="1" applyFont="1" applyBorder="1" applyAlignment="1">
      <alignment horizontal="center" vertical="top"/>
    </xf>
    <xf numFmtId="17" fontId="8" fillId="0" borderId="2" xfId="0" applyNumberFormat="1" applyFont="1" applyBorder="1" applyAlignment="1">
      <alignment horizontal="center" vertical="top"/>
    </xf>
    <xf numFmtId="17" fontId="8" fillId="0" borderId="3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9" fillId="3" borderId="6" xfId="0" applyFont="1" applyFill="1" applyBorder="1" applyAlignment="1">
      <alignment horizontal="center" vertical="top"/>
    </xf>
    <xf numFmtId="0" fontId="20" fillId="2" borderId="5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6" xfId="0" applyFont="1" applyFill="1" applyBorder="1" applyAlignment="1">
      <alignment horizontal="center" vertical="top" wrapText="1"/>
    </xf>
    <xf numFmtId="0" fontId="9" fillId="4" borderId="0" xfId="0" applyFont="1" applyFill="1" applyBorder="1" applyAlignment="1">
      <alignment horizontal="left" vertical="top"/>
    </xf>
    <xf numFmtId="0" fontId="9" fillId="4" borderId="9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center" vertical="top" wrapText="1"/>
    </xf>
    <xf numFmtId="0" fontId="22" fillId="4" borderId="5" xfId="0" applyFont="1" applyFill="1" applyBorder="1" applyAlignment="1">
      <alignment horizontal="left" vertical="top" wrapText="1"/>
    </xf>
    <xf numFmtId="0" fontId="22" fillId="4" borderId="4" xfId="0" applyFont="1" applyFill="1" applyBorder="1" applyAlignment="1">
      <alignment horizontal="left" vertical="top" wrapText="1"/>
    </xf>
    <xf numFmtId="0" fontId="22" fillId="4" borderId="6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 textRotation="90"/>
    </xf>
    <xf numFmtId="0" fontId="17" fillId="0" borderId="7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24" fillId="4" borderId="1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27" fillId="4" borderId="5" xfId="0" applyFont="1" applyFill="1" applyBorder="1" applyAlignment="1">
      <alignment horizontal="left" vertical="top" wrapText="1"/>
    </xf>
    <xf numFmtId="0" fontId="27" fillId="4" borderId="4" xfId="0" applyFont="1" applyFill="1" applyBorder="1" applyAlignment="1">
      <alignment horizontal="left" vertical="top" wrapText="1"/>
    </xf>
    <xf numFmtId="0" fontId="27" fillId="4" borderId="6" xfId="0" applyFont="1" applyFill="1" applyBorder="1" applyAlignment="1">
      <alignment horizontal="left" vertical="top" wrapText="1"/>
    </xf>
    <xf numFmtId="0" fontId="14" fillId="3" borderId="8" xfId="0" applyFont="1" applyFill="1" applyBorder="1" applyAlignment="1">
      <alignment horizontal="center" vertical="top" wrapText="1"/>
    </xf>
    <xf numFmtId="0" fontId="14" fillId="3" borderId="13" xfId="0" applyFont="1" applyFill="1" applyBorder="1" applyAlignment="1">
      <alignment horizontal="center" vertical="top" wrapText="1"/>
    </xf>
    <xf numFmtId="0" fontId="14" fillId="3" borderId="9" xfId="0" applyFont="1" applyFill="1" applyBorder="1" applyAlignment="1">
      <alignment horizontal="center" vertical="top" wrapText="1"/>
    </xf>
    <xf numFmtId="0" fontId="14" fillId="3" borderId="10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30" fillId="3" borderId="11" xfId="0" applyFont="1" applyFill="1" applyBorder="1" applyAlignment="1">
      <alignment horizontal="center" vertical="top" wrapText="1"/>
    </xf>
    <xf numFmtId="0" fontId="30" fillId="3" borderId="12" xfId="0" applyFont="1" applyFill="1" applyBorder="1" applyAlignment="1">
      <alignment horizontal="center" vertical="top" wrapText="1"/>
    </xf>
    <xf numFmtId="0" fontId="30" fillId="3" borderId="13" xfId="0" applyFont="1" applyFill="1" applyBorder="1" applyAlignment="1">
      <alignment horizontal="center" vertical="top" wrapText="1"/>
    </xf>
    <xf numFmtId="0" fontId="30" fillId="3" borderId="10" xfId="0" applyFont="1" applyFill="1" applyBorder="1" applyAlignment="1">
      <alignment horizontal="center" vertical="top" wrapText="1"/>
    </xf>
    <xf numFmtId="0" fontId="14" fillId="3" borderId="5" xfId="0" applyFont="1" applyFill="1" applyBorder="1" applyAlignment="1">
      <alignment horizontal="center" vertical="top" wrapText="1"/>
    </xf>
    <xf numFmtId="0" fontId="14" fillId="3" borderId="6" xfId="0" applyFont="1" applyFill="1" applyBorder="1" applyAlignment="1">
      <alignment horizontal="center" vertical="top" wrapText="1"/>
    </xf>
    <xf numFmtId="0" fontId="13" fillId="4" borderId="0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left" vertical="top" wrapText="1"/>
    </xf>
    <xf numFmtId="0" fontId="12" fillId="4" borderId="5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left" vertical="top" wrapText="1"/>
    </xf>
    <xf numFmtId="0" fontId="29" fillId="3" borderId="5" xfId="0" applyFont="1" applyFill="1" applyBorder="1" applyAlignment="1">
      <alignment horizontal="center" vertical="top" wrapText="1"/>
    </xf>
    <xf numFmtId="0" fontId="29" fillId="3" borderId="6" xfId="0" applyFont="1" applyFill="1" applyBorder="1" applyAlignment="1">
      <alignment horizontal="center" vertical="top" wrapText="1"/>
    </xf>
    <xf numFmtId="0" fontId="27" fillId="0" borderId="5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9" fillId="3" borderId="1" xfId="0" applyFont="1" applyFill="1" applyBorder="1" applyAlignment="1">
      <alignment horizontal="center" vertical="top" wrapText="1"/>
    </xf>
    <xf numFmtId="0" fontId="29" fillId="3" borderId="11" xfId="0" applyFont="1" applyFill="1" applyBorder="1" applyAlignment="1">
      <alignment horizontal="center" vertical="top" wrapText="1"/>
    </xf>
    <xf numFmtId="0" fontId="29" fillId="3" borderId="8" xfId="0" applyFont="1" applyFill="1" applyBorder="1" applyAlignment="1">
      <alignment horizontal="center" vertical="top" wrapText="1"/>
    </xf>
    <xf numFmtId="0" fontId="29" fillId="3" borderId="12" xfId="0" applyFont="1" applyFill="1" applyBorder="1" applyAlignment="1">
      <alignment horizontal="center" vertical="top" wrapText="1"/>
    </xf>
    <xf numFmtId="0" fontId="29" fillId="3" borderId="13" xfId="0" applyFont="1" applyFill="1" applyBorder="1" applyAlignment="1">
      <alignment horizontal="center" vertical="top" wrapText="1"/>
    </xf>
    <xf numFmtId="0" fontId="29" fillId="3" borderId="9" xfId="0" applyFont="1" applyFill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top" wrapText="1"/>
    </xf>
    <xf numFmtId="0" fontId="26" fillId="3" borderId="1" xfId="0" applyFont="1" applyFill="1" applyBorder="1" applyAlignment="1">
      <alignment horizontal="center" vertical="top" wrapText="1"/>
    </xf>
    <xf numFmtId="0" fontId="27" fillId="4" borderId="1" xfId="0" applyFont="1" applyFill="1" applyBorder="1" applyAlignment="1">
      <alignment horizontal="left" vertical="top" wrapText="1"/>
    </xf>
    <xf numFmtId="0" fontId="26" fillId="3" borderId="5" xfId="0" applyFont="1" applyFill="1" applyBorder="1" applyAlignment="1">
      <alignment horizontal="center" vertical="top" wrapText="1"/>
    </xf>
    <xf numFmtId="0" fontId="26" fillId="3" borderId="4" xfId="0" applyFont="1" applyFill="1" applyBorder="1" applyAlignment="1">
      <alignment horizontal="center" vertical="top" wrapText="1"/>
    </xf>
    <xf numFmtId="0" fontId="26" fillId="3" borderId="6" xfId="0" applyFont="1" applyFill="1" applyBorder="1" applyAlignment="1">
      <alignment horizontal="center" vertical="top" wrapText="1"/>
    </xf>
    <xf numFmtId="0" fontId="26" fillId="3" borderId="11" xfId="0" applyFont="1" applyFill="1" applyBorder="1" applyAlignment="1">
      <alignment horizontal="center" vertical="top" wrapText="1"/>
    </xf>
    <xf numFmtId="0" fontId="26" fillId="3" borderId="12" xfId="0" applyFont="1" applyFill="1" applyBorder="1" applyAlignment="1">
      <alignment horizontal="center" vertical="top" wrapText="1"/>
    </xf>
    <xf numFmtId="0" fontId="26" fillId="3" borderId="13" xfId="0" applyFont="1" applyFill="1" applyBorder="1" applyAlignment="1">
      <alignment horizontal="center" vertical="top" wrapText="1"/>
    </xf>
    <xf numFmtId="0" fontId="26" fillId="3" borderId="10" xfId="0" applyFont="1" applyFill="1" applyBorder="1" applyAlignment="1">
      <alignment horizontal="center" vertical="top" wrapText="1"/>
    </xf>
    <xf numFmtId="0" fontId="33" fillId="3" borderId="2" xfId="0" applyFont="1" applyFill="1" applyBorder="1" applyAlignment="1">
      <alignment horizontal="center" vertical="top" wrapText="1"/>
    </xf>
    <xf numFmtId="0" fontId="33" fillId="3" borderId="3" xfId="0" applyFont="1" applyFill="1" applyBorder="1" applyAlignment="1">
      <alignment horizontal="center" vertical="top" wrapText="1"/>
    </xf>
    <xf numFmtId="0" fontId="33" fillId="3" borderId="1" xfId="0" applyFont="1" applyFill="1" applyBorder="1" applyAlignment="1">
      <alignment horizontal="center" vertical="top" wrapText="1"/>
    </xf>
    <xf numFmtId="0" fontId="26" fillId="3" borderId="2" xfId="0" applyFont="1" applyFill="1" applyBorder="1" applyAlignment="1">
      <alignment horizontal="center" vertical="top" wrapText="1"/>
    </xf>
    <xf numFmtId="0" fontId="26" fillId="3" borderId="3" xfId="0" applyFont="1" applyFill="1" applyBorder="1" applyAlignment="1">
      <alignment horizontal="center" vertical="top" wrapText="1"/>
    </xf>
    <xf numFmtId="0" fontId="26" fillId="3" borderId="7" xfId="0" applyFont="1" applyFill="1" applyBorder="1" applyAlignment="1">
      <alignment horizontal="center" vertical="top" wrapText="1"/>
    </xf>
    <xf numFmtId="0" fontId="26" fillId="3" borderId="8" xfId="0" applyFont="1" applyFill="1" applyBorder="1" applyAlignment="1">
      <alignment horizontal="center" vertical="top" wrapText="1"/>
    </xf>
    <xf numFmtId="0" fontId="26" fillId="3" borderId="9" xfId="0" applyFont="1" applyFill="1" applyBorder="1" applyAlignment="1">
      <alignment horizontal="center" vertical="top" wrapText="1"/>
    </xf>
    <xf numFmtId="0" fontId="36" fillId="2" borderId="1" xfId="0" applyFont="1" applyFill="1" applyBorder="1" applyAlignment="1">
      <alignment horizontal="center" vertical="top" wrapText="1"/>
    </xf>
    <xf numFmtId="0" fontId="29" fillId="4" borderId="0" xfId="0" applyFont="1" applyFill="1" applyBorder="1" applyAlignment="1">
      <alignment horizontal="left" vertical="top"/>
    </xf>
    <xf numFmtId="0" fontId="29" fillId="4" borderId="9" xfId="0" applyFont="1" applyFill="1" applyBorder="1" applyAlignment="1">
      <alignment horizontal="left" vertical="top"/>
    </xf>
    <xf numFmtId="0" fontId="29" fillId="3" borderId="5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top"/>
    </xf>
    <xf numFmtId="0" fontId="29" fillId="3" borderId="4" xfId="0" applyFont="1" applyFill="1" applyBorder="1" applyAlignment="1">
      <alignment horizontal="center" vertical="top"/>
    </xf>
    <xf numFmtId="0" fontId="29" fillId="3" borderId="6" xfId="0" applyFont="1" applyFill="1" applyBorder="1" applyAlignment="1">
      <alignment horizontal="center" vertical="top"/>
    </xf>
    <xf numFmtId="0" fontId="27" fillId="4" borderId="5" xfId="0" applyFont="1" applyFill="1" applyBorder="1" applyAlignment="1">
      <alignment horizontal="center" vertical="top" wrapText="1"/>
    </xf>
    <xf numFmtId="0" fontId="27" fillId="4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opLeftCell="A7" zoomScale="77" zoomScaleNormal="77" workbookViewId="0">
      <selection activeCell="S16" sqref="A16:S16"/>
    </sheetView>
  </sheetViews>
  <sheetFormatPr baseColWidth="10" defaultColWidth="11.5703125" defaultRowHeight="15" x14ac:dyDescent="0.25"/>
  <cols>
    <col min="1" max="1" width="11.5703125" style="3"/>
    <col min="2" max="2" width="25.85546875" style="3" customWidth="1"/>
    <col min="3" max="4" width="29.140625" style="3" customWidth="1"/>
    <col min="5" max="5" width="29.28515625" style="3" customWidth="1"/>
    <col min="6" max="6" width="5.28515625" style="3" customWidth="1"/>
    <col min="7" max="7" width="5.42578125" style="3" customWidth="1"/>
    <col min="8" max="8" width="5.7109375" style="3" customWidth="1"/>
    <col min="9" max="9" width="6.5703125" style="3" customWidth="1"/>
    <col min="10" max="10" width="31.7109375" style="3" customWidth="1"/>
    <col min="11" max="11" width="22.5703125" style="3" customWidth="1"/>
    <col min="12" max="12" width="11.85546875" style="3" customWidth="1"/>
    <col min="13" max="13" width="11.42578125" style="3" customWidth="1"/>
    <col min="14" max="14" width="9.7109375" style="3" customWidth="1"/>
    <col min="15" max="15" width="11.7109375" style="3" customWidth="1"/>
    <col min="16" max="16" width="8.28515625" style="3" customWidth="1"/>
    <col min="17" max="17" width="9.5703125" style="3" customWidth="1"/>
    <col min="18" max="18" width="16.28515625" style="3" customWidth="1"/>
    <col min="19" max="19" width="17.85546875" style="3" customWidth="1"/>
    <col min="20" max="16384" width="11.5703125" style="3"/>
  </cols>
  <sheetData>
    <row r="1" spans="1:19" ht="68.25" customHeight="1" x14ac:dyDescent="0.25">
      <c r="B1" s="234" t="s">
        <v>7</v>
      </c>
      <c r="C1" s="234"/>
      <c r="D1" s="246" t="s">
        <v>156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8"/>
      <c r="Q1" s="258" t="s">
        <v>100</v>
      </c>
      <c r="R1" s="259"/>
      <c r="S1" s="260"/>
    </row>
    <row r="2" spans="1:19" ht="28.5" customHeight="1" x14ac:dyDescent="0.25">
      <c r="B2" s="4" t="s">
        <v>11</v>
      </c>
      <c r="C2" s="4"/>
      <c r="D2" s="4"/>
      <c r="E2" s="4"/>
      <c r="F2" s="5"/>
      <c r="G2" s="5"/>
      <c r="H2" s="6"/>
      <c r="I2" s="6"/>
      <c r="J2" s="6"/>
      <c r="K2" s="7"/>
      <c r="L2" s="8"/>
      <c r="M2" s="8"/>
      <c r="N2" s="8"/>
      <c r="O2" s="244" t="s">
        <v>184</v>
      </c>
      <c r="P2" s="244"/>
      <c r="Q2" s="244"/>
      <c r="R2" s="244"/>
      <c r="S2" s="244"/>
    </row>
    <row r="3" spans="1:19" ht="14.45" customHeight="1" x14ac:dyDescent="0.25">
      <c r="B3" s="261" t="s">
        <v>18</v>
      </c>
      <c r="C3" s="262"/>
      <c r="D3" s="17"/>
      <c r="E3" s="17"/>
      <c r="F3" s="252" t="s">
        <v>13</v>
      </c>
      <c r="G3" s="252"/>
      <c r="H3" s="252"/>
      <c r="I3" s="252"/>
      <c r="J3" s="252"/>
      <c r="K3" s="252"/>
      <c r="L3" s="255" t="s">
        <v>14</v>
      </c>
      <c r="M3" s="256"/>
      <c r="N3" s="256"/>
      <c r="O3" s="256"/>
      <c r="P3" s="256"/>
      <c r="Q3" s="256"/>
      <c r="R3" s="256"/>
      <c r="S3" s="257"/>
    </row>
    <row r="4" spans="1:19" ht="28.5" customHeight="1" x14ac:dyDescent="0.25">
      <c r="A4" s="243" t="s">
        <v>69</v>
      </c>
      <c r="B4" s="243"/>
      <c r="C4" s="243" t="s">
        <v>0</v>
      </c>
      <c r="D4" s="243" t="s">
        <v>41</v>
      </c>
      <c r="E4" s="243" t="s">
        <v>37</v>
      </c>
      <c r="F4" s="243" t="s">
        <v>28</v>
      </c>
      <c r="G4" s="243"/>
      <c r="H4" s="243"/>
      <c r="I4" s="243"/>
      <c r="J4" s="253" t="s">
        <v>1</v>
      </c>
      <c r="K4" s="243" t="s">
        <v>2</v>
      </c>
      <c r="L4" s="199" t="s">
        <v>42</v>
      </c>
      <c r="M4" s="200"/>
      <c r="N4" s="200"/>
      <c r="O4" s="201"/>
      <c r="P4" s="249" t="s">
        <v>12</v>
      </c>
      <c r="Q4" s="250"/>
      <c r="R4" s="250"/>
      <c r="S4" s="251"/>
    </row>
    <row r="5" spans="1:19" ht="27" customHeight="1" x14ac:dyDescent="0.25">
      <c r="A5" s="243"/>
      <c r="B5" s="243"/>
      <c r="C5" s="253"/>
      <c r="D5" s="243"/>
      <c r="E5" s="243"/>
      <c r="F5" s="2" t="s">
        <v>3</v>
      </c>
      <c r="G5" s="2" t="s">
        <v>4</v>
      </c>
      <c r="H5" s="2" t="s">
        <v>5</v>
      </c>
      <c r="I5" s="2" t="s">
        <v>6</v>
      </c>
      <c r="J5" s="254"/>
      <c r="K5" s="253"/>
      <c r="L5" s="202"/>
      <c r="M5" s="203"/>
      <c r="N5" s="203"/>
      <c r="O5" s="204"/>
      <c r="P5" s="21" t="s">
        <v>21</v>
      </c>
      <c r="Q5" s="21" t="s">
        <v>22</v>
      </c>
      <c r="R5" s="35" t="s">
        <v>86</v>
      </c>
      <c r="S5" s="35" t="s">
        <v>87</v>
      </c>
    </row>
    <row r="6" spans="1:19" ht="75" customHeight="1" x14ac:dyDescent="0.25">
      <c r="A6" s="239" t="s">
        <v>70</v>
      </c>
      <c r="B6" s="34" t="s">
        <v>72</v>
      </c>
      <c r="C6" s="27" t="s">
        <v>23</v>
      </c>
      <c r="D6" s="27" t="s">
        <v>24</v>
      </c>
      <c r="E6" s="27" t="s">
        <v>39</v>
      </c>
      <c r="F6" s="11">
        <v>3</v>
      </c>
      <c r="G6" s="11">
        <v>3</v>
      </c>
      <c r="H6" s="11">
        <v>2</v>
      </c>
      <c r="I6" s="9">
        <f t="shared" ref="I6:I14" si="0">F6*G6*H6</f>
        <v>18</v>
      </c>
      <c r="J6" s="54" t="s">
        <v>26</v>
      </c>
      <c r="K6" s="25" t="s">
        <v>44</v>
      </c>
      <c r="L6" s="205" t="s">
        <v>64</v>
      </c>
      <c r="M6" s="206"/>
      <c r="N6" s="206"/>
      <c r="O6" s="207"/>
      <c r="P6" s="46" t="s">
        <v>97</v>
      </c>
      <c r="Q6" s="10"/>
      <c r="R6" s="49">
        <v>43418</v>
      </c>
      <c r="S6" s="48" t="s">
        <v>99</v>
      </c>
    </row>
    <row r="7" spans="1:19" ht="60.75" customHeight="1" x14ac:dyDescent="0.25">
      <c r="A7" s="240"/>
      <c r="B7" s="103" t="s">
        <v>73</v>
      </c>
      <c r="C7" s="1" t="s">
        <v>25</v>
      </c>
      <c r="D7" s="18" t="s">
        <v>36</v>
      </c>
      <c r="E7" s="19" t="s">
        <v>40</v>
      </c>
      <c r="F7" s="11">
        <v>3</v>
      </c>
      <c r="G7" s="11">
        <v>3</v>
      </c>
      <c r="H7" s="11">
        <v>2</v>
      </c>
      <c r="I7" s="9">
        <f t="shared" si="0"/>
        <v>18</v>
      </c>
      <c r="J7" s="84" t="s">
        <v>15</v>
      </c>
      <c r="K7" s="24" t="s">
        <v>45</v>
      </c>
      <c r="L7" s="205" t="s">
        <v>43</v>
      </c>
      <c r="M7" s="206"/>
      <c r="N7" s="206"/>
      <c r="O7" s="207"/>
      <c r="P7" s="46" t="s">
        <v>97</v>
      </c>
      <c r="Q7" s="10"/>
      <c r="R7" s="49">
        <v>43418</v>
      </c>
      <c r="S7" s="48" t="s">
        <v>99</v>
      </c>
    </row>
    <row r="8" spans="1:19" ht="15.75" customHeight="1" x14ac:dyDescent="0.25">
      <c r="A8" s="240"/>
      <c r="B8" s="242" t="s">
        <v>71</v>
      </c>
      <c r="C8" s="54" t="s">
        <v>8</v>
      </c>
      <c r="D8" s="235" t="s">
        <v>29</v>
      </c>
      <c r="E8" s="235" t="s">
        <v>39</v>
      </c>
      <c r="F8" s="236">
        <v>4</v>
      </c>
      <c r="G8" s="236">
        <v>3</v>
      </c>
      <c r="H8" s="236">
        <v>2</v>
      </c>
      <c r="I8" s="263">
        <f t="shared" si="0"/>
        <v>24</v>
      </c>
      <c r="J8" s="235" t="s">
        <v>107</v>
      </c>
      <c r="K8" s="245" t="s">
        <v>46</v>
      </c>
      <c r="L8" s="208" t="s">
        <v>65</v>
      </c>
      <c r="M8" s="209"/>
      <c r="N8" s="209"/>
      <c r="O8" s="210"/>
      <c r="P8" s="232"/>
      <c r="Q8" s="232"/>
      <c r="R8" s="227" t="s">
        <v>108</v>
      </c>
      <c r="S8" s="223"/>
    </row>
    <row r="9" spans="1:19" ht="55.15" customHeight="1" x14ac:dyDescent="0.25">
      <c r="A9" s="240"/>
      <c r="B9" s="242"/>
      <c r="C9" s="1" t="s">
        <v>9</v>
      </c>
      <c r="D9" s="235"/>
      <c r="E9" s="235"/>
      <c r="F9" s="236"/>
      <c r="G9" s="236"/>
      <c r="H9" s="236"/>
      <c r="I9" s="263"/>
      <c r="J9" s="235"/>
      <c r="K9" s="245"/>
      <c r="L9" s="211"/>
      <c r="M9" s="212"/>
      <c r="N9" s="212"/>
      <c r="O9" s="213"/>
      <c r="P9" s="233"/>
      <c r="Q9" s="233"/>
      <c r="R9" s="226"/>
      <c r="S9" s="224"/>
    </row>
    <row r="10" spans="1:19" ht="77.25" customHeight="1" x14ac:dyDescent="0.25">
      <c r="A10" s="240"/>
      <c r="B10" s="30" t="s">
        <v>76</v>
      </c>
      <c r="C10" s="12" t="s">
        <v>27</v>
      </c>
      <c r="D10" s="26" t="s">
        <v>47</v>
      </c>
      <c r="E10" s="26" t="s">
        <v>48</v>
      </c>
      <c r="F10" s="13">
        <v>4</v>
      </c>
      <c r="G10" s="13">
        <v>3</v>
      </c>
      <c r="H10" s="13">
        <v>2</v>
      </c>
      <c r="I10" s="9">
        <f t="shared" ref="I10" si="1">F10*G10*H10</f>
        <v>24</v>
      </c>
      <c r="J10" s="66" t="s">
        <v>16</v>
      </c>
      <c r="K10" s="26" t="s">
        <v>49</v>
      </c>
      <c r="L10" s="205" t="s">
        <v>50</v>
      </c>
      <c r="M10" s="206"/>
      <c r="N10" s="206"/>
      <c r="O10" s="207"/>
      <c r="P10" s="46" t="s">
        <v>97</v>
      </c>
      <c r="Q10" s="20"/>
      <c r="R10" s="49">
        <v>43427</v>
      </c>
      <c r="S10" s="48" t="s">
        <v>99</v>
      </c>
    </row>
    <row r="11" spans="1:19" ht="60.75" customHeight="1" x14ac:dyDescent="0.25">
      <c r="A11" s="240"/>
      <c r="B11" s="242" t="s">
        <v>75</v>
      </c>
      <c r="C11" s="1" t="s">
        <v>30</v>
      </c>
      <c r="D11" s="215" t="s">
        <v>35</v>
      </c>
      <c r="E11" s="215" t="s">
        <v>51</v>
      </c>
      <c r="F11" s="11">
        <v>3</v>
      </c>
      <c r="G11" s="11">
        <v>3</v>
      </c>
      <c r="H11" s="11">
        <v>2</v>
      </c>
      <c r="I11" s="9">
        <f t="shared" si="0"/>
        <v>18</v>
      </c>
      <c r="J11" s="235" t="s">
        <v>66</v>
      </c>
      <c r="K11" s="214" t="s">
        <v>52</v>
      </c>
      <c r="L11" s="208" t="s">
        <v>98</v>
      </c>
      <c r="M11" s="209"/>
      <c r="N11" s="209"/>
      <c r="O11" s="210"/>
      <c r="P11" s="228" t="s">
        <v>97</v>
      </c>
      <c r="Q11" s="230"/>
      <c r="R11" s="225">
        <v>43418</v>
      </c>
      <c r="S11" s="223" t="s">
        <v>99</v>
      </c>
    </row>
    <row r="12" spans="1:19" ht="45.75" customHeight="1" x14ac:dyDescent="0.25">
      <c r="A12" s="240"/>
      <c r="B12" s="242"/>
      <c r="C12" s="1" t="s">
        <v>31</v>
      </c>
      <c r="D12" s="216"/>
      <c r="E12" s="216"/>
      <c r="F12" s="11">
        <v>3</v>
      </c>
      <c r="G12" s="11">
        <v>3</v>
      </c>
      <c r="H12" s="11">
        <v>2</v>
      </c>
      <c r="I12" s="9">
        <f t="shared" si="0"/>
        <v>18</v>
      </c>
      <c r="J12" s="235"/>
      <c r="K12" s="214"/>
      <c r="L12" s="211"/>
      <c r="M12" s="212"/>
      <c r="N12" s="212"/>
      <c r="O12" s="213"/>
      <c r="P12" s="229"/>
      <c r="Q12" s="231"/>
      <c r="R12" s="226"/>
      <c r="S12" s="224"/>
    </row>
    <row r="13" spans="1:19" ht="105.75" customHeight="1" x14ac:dyDescent="0.25">
      <c r="A13" s="240"/>
      <c r="B13" s="30" t="s">
        <v>74</v>
      </c>
      <c r="C13" s="1" t="s">
        <v>10</v>
      </c>
      <c r="D13" s="24" t="s">
        <v>53</v>
      </c>
      <c r="E13" s="24" t="s">
        <v>54</v>
      </c>
      <c r="F13" s="11">
        <v>3</v>
      </c>
      <c r="G13" s="11">
        <v>2</v>
      </c>
      <c r="H13" s="11">
        <v>2</v>
      </c>
      <c r="I13" s="16">
        <f t="shared" si="0"/>
        <v>12</v>
      </c>
      <c r="J13" s="24" t="s">
        <v>55</v>
      </c>
      <c r="K13" s="24" t="s">
        <v>56</v>
      </c>
      <c r="L13" s="205" t="s">
        <v>57</v>
      </c>
      <c r="M13" s="206"/>
      <c r="N13" s="206"/>
      <c r="O13" s="207"/>
      <c r="P13" s="46" t="s">
        <v>97</v>
      </c>
      <c r="Q13" s="10"/>
      <c r="R13" s="49">
        <v>43418</v>
      </c>
      <c r="S13" s="48" t="s">
        <v>99</v>
      </c>
    </row>
    <row r="14" spans="1:19" ht="80.25" customHeight="1" x14ac:dyDescent="0.25">
      <c r="A14" s="240"/>
      <c r="B14" s="30" t="s">
        <v>77</v>
      </c>
      <c r="C14" s="1" t="s">
        <v>32</v>
      </c>
      <c r="D14" s="18" t="s">
        <v>34</v>
      </c>
      <c r="E14" s="24" t="s">
        <v>54</v>
      </c>
      <c r="F14" s="15">
        <v>3</v>
      </c>
      <c r="G14" s="15">
        <v>3</v>
      </c>
      <c r="H14" s="15">
        <v>2</v>
      </c>
      <c r="I14" s="9">
        <f t="shared" si="0"/>
        <v>18</v>
      </c>
      <c r="J14" s="50" t="s">
        <v>33</v>
      </c>
      <c r="K14" s="25" t="s">
        <v>44</v>
      </c>
      <c r="L14" s="205" t="s">
        <v>58</v>
      </c>
      <c r="M14" s="206"/>
      <c r="N14" s="206"/>
      <c r="O14" s="207"/>
      <c r="P14" s="47" t="s">
        <v>97</v>
      </c>
      <c r="Q14" s="22"/>
      <c r="R14" s="49">
        <v>43418</v>
      </c>
      <c r="S14" s="48" t="s">
        <v>99</v>
      </c>
    </row>
    <row r="15" spans="1:19" ht="32.25" customHeight="1" x14ac:dyDescent="0.25">
      <c r="A15" s="241"/>
      <c r="B15" s="30" t="s">
        <v>78</v>
      </c>
      <c r="C15" s="27" t="s">
        <v>59</v>
      </c>
      <c r="D15" s="29" t="s">
        <v>67</v>
      </c>
      <c r="E15" s="27" t="s">
        <v>60</v>
      </c>
      <c r="F15" s="23">
        <v>3</v>
      </c>
      <c r="G15" s="23">
        <v>2</v>
      </c>
      <c r="H15" s="23">
        <v>2</v>
      </c>
      <c r="I15" s="16">
        <f t="shared" ref="I15:I16" si="2">F15*G15*H15</f>
        <v>12</v>
      </c>
      <c r="J15" s="50" t="s">
        <v>61</v>
      </c>
      <c r="K15" s="25" t="s">
        <v>62</v>
      </c>
      <c r="L15" s="205" t="s">
        <v>63</v>
      </c>
      <c r="M15" s="206"/>
      <c r="N15" s="206"/>
      <c r="O15" s="207"/>
      <c r="P15" s="47" t="s">
        <v>97</v>
      </c>
      <c r="Q15" s="22"/>
      <c r="R15" s="49">
        <v>43430</v>
      </c>
      <c r="S15" s="48" t="s">
        <v>99</v>
      </c>
    </row>
    <row r="16" spans="1:19" ht="44.25" customHeight="1" x14ac:dyDescent="0.25">
      <c r="A16" s="237" t="s">
        <v>79</v>
      </c>
      <c r="B16" s="238"/>
      <c r="C16" s="14" t="s">
        <v>80</v>
      </c>
      <c r="D16" s="14" t="s">
        <v>82</v>
      </c>
      <c r="E16" s="14" t="s">
        <v>81</v>
      </c>
      <c r="F16" s="37">
        <v>4</v>
      </c>
      <c r="G16" s="37">
        <v>2</v>
      </c>
      <c r="H16" s="37">
        <v>2</v>
      </c>
      <c r="I16" s="56">
        <f t="shared" si="2"/>
        <v>16</v>
      </c>
      <c r="J16" s="14" t="s">
        <v>83</v>
      </c>
      <c r="K16" s="63" t="s">
        <v>84</v>
      </c>
      <c r="L16" s="220" t="s">
        <v>85</v>
      </c>
      <c r="M16" s="221"/>
      <c r="N16" s="221"/>
      <c r="O16" s="222"/>
      <c r="P16" s="47" t="s">
        <v>97</v>
      </c>
      <c r="Q16" s="22"/>
      <c r="R16" s="64">
        <v>43418</v>
      </c>
      <c r="S16" s="65" t="s">
        <v>99</v>
      </c>
    </row>
    <row r="17" spans="1:19" ht="32.25" customHeight="1" x14ac:dyDescent="0.25">
      <c r="A17" s="36"/>
      <c r="B17" s="31"/>
      <c r="C17" s="32"/>
      <c r="D17" s="32"/>
      <c r="E17" s="32"/>
      <c r="F17" s="23"/>
      <c r="G17" s="23"/>
      <c r="H17" s="37"/>
      <c r="I17" s="38"/>
      <c r="J17" s="32"/>
      <c r="K17" s="33"/>
      <c r="L17" s="217"/>
      <c r="M17" s="218"/>
      <c r="N17" s="218"/>
      <c r="O17" s="219"/>
      <c r="P17" s="22"/>
      <c r="Q17" s="22"/>
      <c r="R17" s="28"/>
      <c r="S17" s="48"/>
    </row>
    <row r="20" spans="1:19" ht="15.75" x14ac:dyDescent="0.25">
      <c r="B20" s="186" t="s">
        <v>19</v>
      </c>
      <c r="C20" s="187" t="s">
        <v>38</v>
      </c>
      <c r="D20" s="189" t="s">
        <v>88</v>
      </c>
      <c r="E20" s="190"/>
      <c r="F20" s="191" t="s">
        <v>13</v>
      </c>
      <c r="G20" s="192"/>
      <c r="H20" s="192"/>
      <c r="I20" s="192"/>
      <c r="J20" s="192"/>
      <c r="K20" s="192"/>
      <c r="L20" s="193" t="s">
        <v>89</v>
      </c>
      <c r="M20" s="194"/>
      <c r="N20" s="194"/>
      <c r="O20" s="195"/>
      <c r="P20" s="176" t="s">
        <v>12</v>
      </c>
      <c r="Q20" s="177"/>
      <c r="R20" s="177"/>
      <c r="S20" s="178"/>
    </row>
    <row r="21" spans="1:19" ht="31.5" x14ac:dyDescent="0.25">
      <c r="B21" s="186"/>
      <c r="C21" s="188"/>
      <c r="D21" s="40" t="s">
        <v>21</v>
      </c>
      <c r="E21" s="40" t="s">
        <v>22</v>
      </c>
      <c r="F21" s="179" t="s">
        <v>20</v>
      </c>
      <c r="G21" s="179"/>
      <c r="H21" s="179"/>
      <c r="I21" s="179"/>
      <c r="J21" s="179"/>
      <c r="K21" s="40" t="s">
        <v>2</v>
      </c>
      <c r="L21" s="196"/>
      <c r="M21" s="197"/>
      <c r="N21" s="197"/>
      <c r="O21" s="198"/>
      <c r="P21" s="39" t="s">
        <v>90</v>
      </c>
      <c r="Q21" s="39" t="s">
        <v>91</v>
      </c>
      <c r="R21" s="39" t="s">
        <v>92</v>
      </c>
      <c r="S21" s="39" t="s">
        <v>87</v>
      </c>
    </row>
    <row r="22" spans="1:19" ht="31.5" x14ac:dyDescent="0.25">
      <c r="B22" s="41" t="s">
        <v>17</v>
      </c>
      <c r="C22" s="42" t="s">
        <v>68</v>
      </c>
      <c r="D22" s="43" t="s">
        <v>93</v>
      </c>
      <c r="E22" s="42"/>
      <c r="F22" s="180" t="s">
        <v>94</v>
      </c>
      <c r="G22" s="181"/>
      <c r="H22" s="181"/>
      <c r="I22" s="181"/>
      <c r="J22" s="182"/>
      <c r="K22" s="44" t="s">
        <v>95</v>
      </c>
      <c r="L22" s="183" t="s">
        <v>96</v>
      </c>
      <c r="M22" s="184"/>
      <c r="N22" s="184"/>
      <c r="O22" s="185"/>
      <c r="P22" s="45"/>
      <c r="Q22" s="45"/>
      <c r="R22" s="45" t="s">
        <v>108</v>
      </c>
      <c r="S22" s="45"/>
    </row>
  </sheetData>
  <mergeCells count="59">
    <mergeCell ref="O2:S2"/>
    <mergeCell ref="K8:K9"/>
    <mergeCell ref="D1:P1"/>
    <mergeCell ref="A4:B5"/>
    <mergeCell ref="H8:H9"/>
    <mergeCell ref="D4:D5"/>
    <mergeCell ref="P4:S4"/>
    <mergeCell ref="F3:K3"/>
    <mergeCell ref="K4:K5"/>
    <mergeCell ref="J4:J5"/>
    <mergeCell ref="L3:S3"/>
    <mergeCell ref="Q1:S1"/>
    <mergeCell ref="B3:C3"/>
    <mergeCell ref="C4:C5"/>
    <mergeCell ref="I8:I9"/>
    <mergeCell ref="E4:E5"/>
    <mergeCell ref="B1:C1"/>
    <mergeCell ref="J8:J9"/>
    <mergeCell ref="F8:F9"/>
    <mergeCell ref="G8:G9"/>
    <mergeCell ref="A16:B16"/>
    <mergeCell ref="A6:A15"/>
    <mergeCell ref="D8:D9"/>
    <mergeCell ref="B8:B9"/>
    <mergeCell ref="E8:E9"/>
    <mergeCell ref="F4:I4"/>
    <mergeCell ref="B11:B12"/>
    <mergeCell ref="J11:J12"/>
    <mergeCell ref="S11:S12"/>
    <mergeCell ref="R11:R12"/>
    <mergeCell ref="R8:R9"/>
    <mergeCell ref="S8:S9"/>
    <mergeCell ref="P11:P12"/>
    <mergeCell ref="Q11:Q12"/>
    <mergeCell ref="P8:P9"/>
    <mergeCell ref="Q8:Q9"/>
    <mergeCell ref="K11:K12"/>
    <mergeCell ref="E11:E12"/>
    <mergeCell ref="D11:D12"/>
    <mergeCell ref="L17:O17"/>
    <mergeCell ref="L13:O13"/>
    <mergeCell ref="L14:O14"/>
    <mergeCell ref="L15:O15"/>
    <mergeCell ref="L11:O12"/>
    <mergeCell ref="L16:O16"/>
    <mergeCell ref="L4:O5"/>
    <mergeCell ref="L6:O6"/>
    <mergeCell ref="L7:O7"/>
    <mergeCell ref="L8:O9"/>
    <mergeCell ref="L10:O10"/>
    <mergeCell ref="P20:S20"/>
    <mergeCell ref="F21:J21"/>
    <mergeCell ref="F22:J22"/>
    <mergeCell ref="L22:O22"/>
    <mergeCell ref="B20:B21"/>
    <mergeCell ref="C20:C21"/>
    <mergeCell ref="D20:E20"/>
    <mergeCell ref="F20:K20"/>
    <mergeCell ref="L20:O21"/>
  </mergeCells>
  <pageMargins left="0.70866141732283472" right="0.70866141732283472" top="0.74803149606299213" bottom="0.74803149606299213" header="0.31496062992125984" footer="0.31496062992125984"/>
  <pageSetup paperSize="9" scale="44" orientation="landscape" horizontalDpi="4294967293" verticalDpi="4294967293" r:id="rId1"/>
  <headerFooter>
    <oddFooter>&amp;LVisa Pilote 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C6" sqref="C6"/>
    </sheetView>
  </sheetViews>
  <sheetFormatPr baseColWidth="10" defaultRowHeight="15" x14ac:dyDescent="0.25"/>
  <cols>
    <col min="2" max="2" width="22.85546875" customWidth="1"/>
    <col min="3" max="3" width="17.85546875" customWidth="1"/>
    <col min="4" max="4" width="27.28515625" customWidth="1"/>
    <col min="5" max="5" width="22.140625" customWidth="1"/>
    <col min="6" max="6" width="13.5703125" customWidth="1"/>
    <col min="10" max="10" width="26" customWidth="1"/>
    <col min="11" max="11" width="17.28515625" customWidth="1"/>
    <col min="18" max="18" width="14.5703125" customWidth="1"/>
  </cols>
  <sheetData>
    <row r="1" spans="1:19" ht="77.25" customHeight="1" x14ac:dyDescent="0.25">
      <c r="A1" s="3"/>
      <c r="B1" s="234" t="s">
        <v>7</v>
      </c>
      <c r="C1" s="234"/>
      <c r="D1" s="246" t="s">
        <v>157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8"/>
      <c r="Q1" s="258" t="s">
        <v>100</v>
      </c>
      <c r="R1" s="259"/>
      <c r="S1" s="260"/>
    </row>
    <row r="2" spans="1:19" ht="29.25" customHeight="1" x14ac:dyDescent="0.25">
      <c r="A2" s="3"/>
      <c r="B2" s="4" t="s">
        <v>11</v>
      </c>
      <c r="C2" s="4"/>
      <c r="D2" s="4"/>
      <c r="E2" s="4"/>
      <c r="F2" s="5"/>
      <c r="G2" s="5"/>
      <c r="H2" s="6"/>
      <c r="I2" s="6"/>
      <c r="J2" s="6"/>
      <c r="K2" s="7"/>
      <c r="L2" s="8"/>
      <c r="M2" s="8"/>
      <c r="N2" s="8"/>
      <c r="O2" s="244" t="s">
        <v>183</v>
      </c>
      <c r="P2" s="244"/>
      <c r="Q2" s="244"/>
      <c r="R2" s="244"/>
      <c r="S2" s="244"/>
    </row>
    <row r="3" spans="1:19" ht="48.75" customHeight="1" x14ac:dyDescent="0.25">
      <c r="A3" s="3"/>
      <c r="B3" s="261" t="s">
        <v>18</v>
      </c>
      <c r="C3" s="262"/>
      <c r="D3" s="52"/>
      <c r="E3" s="52"/>
      <c r="F3" s="252" t="s">
        <v>13</v>
      </c>
      <c r="G3" s="252"/>
      <c r="H3" s="252"/>
      <c r="I3" s="252"/>
      <c r="J3" s="252"/>
      <c r="K3" s="252"/>
      <c r="L3" s="255" t="s">
        <v>14</v>
      </c>
      <c r="M3" s="256"/>
      <c r="N3" s="256"/>
      <c r="O3" s="256"/>
      <c r="P3" s="256"/>
      <c r="Q3" s="256"/>
      <c r="R3" s="256"/>
      <c r="S3" s="257"/>
    </row>
    <row r="4" spans="1:19" ht="36" customHeight="1" x14ac:dyDescent="0.25">
      <c r="A4" s="243" t="s">
        <v>69</v>
      </c>
      <c r="B4" s="243"/>
      <c r="C4" s="55" t="s">
        <v>0</v>
      </c>
      <c r="D4" s="243" t="s">
        <v>41</v>
      </c>
      <c r="E4" s="243" t="s">
        <v>37</v>
      </c>
      <c r="F4" s="243" t="s">
        <v>28</v>
      </c>
      <c r="G4" s="243"/>
      <c r="H4" s="243"/>
      <c r="I4" s="243"/>
      <c r="J4" s="253" t="s">
        <v>1</v>
      </c>
      <c r="K4" s="243" t="s">
        <v>2</v>
      </c>
      <c r="L4" s="199" t="s">
        <v>42</v>
      </c>
      <c r="M4" s="200"/>
      <c r="N4" s="200"/>
      <c r="O4" s="201"/>
      <c r="P4" s="249" t="s">
        <v>12</v>
      </c>
      <c r="Q4" s="250"/>
      <c r="R4" s="250"/>
      <c r="S4" s="251"/>
    </row>
    <row r="5" spans="1:19" ht="51" customHeight="1" x14ac:dyDescent="0.25">
      <c r="A5" s="243"/>
      <c r="B5" s="243"/>
      <c r="C5" s="58"/>
      <c r="D5" s="243"/>
      <c r="E5" s="243"/>
      <c r="F5" s="51" t="s">
        <v>3</v>
      </c>
      <c r="G5" s="51" t="s">
        <v>4</v>
      </c>
      <c r="H5" s="51" t="s">
        <v>5</v>
      </c>
      <c r="I5" s="51" t="s">
        <v>6</v>
      </c>
      <c r="J5" s="254"/>
      <c r="K5" s="253"/>
      <c r="L5" s="202"/>
      <c r="M5" s="203"/>
      <c r="N5" s="203"/>
      <c r="O5" s="204"/>
      <c r="P5" s="51" t="s">
        <v>21</v>
      </c>
      <c r="Q5" s="51" t="s">
        <v>22</v>
      </c>
      <c r="R5" s="51" t="s">
        <v>86</v>
      </c>
      <c r="S5" s="51" t="s">
        <v>87</v>
      </c>
    </row>
    <row r="6" spans="1:19" ht="63" customHeight="1" x14ac:dyDescent="0.25">
      <c r="A6" s="267" t="s">
        <v>101</v>
      </c>
      <c r="B6" s="34" t="s">
        <v>72</v>
      </c>
      <c r="C6" s="54" t="s">
        <v>102</v>
      </c>
      <c r="D6" s="54" t="s">
        <v>103</v>
      </c>
      <c r="E6" s="59" t="s">
        <v>39</v>
      </c>
      <c r="F6" s="57">
        <v>4</v>
      </c>
      <c r="G6" s="57">
        <v>2</v>
      </c>
      <c r="H6" s="57">
        <v>2</v>
      </c>
      <c r="I6" s="60">
        <v>16</v>
      </c>
      <c r="J6" s="62" t="s">
        <v>104</v>
      </c>
      <c r="K6" s="61" t="s">
        <v>105</v>
      </c>
      <c r="L6" s="264" t="s">
        <v>106</v>
      </c>
      <c r="M6" s="265"/>
      <c r="N6" s="265"/>
      <c r="O6" s="266"/>
      <c r="P6" s="71"/>
      <c r="Q6" s="57"/>
      <c r="R6" s="57" t="s">
        <v>135</v>
      </c>
      <c r="S6" s="57"/>
    </row>
    <row r="7" spans="1:19" ht="39" customHeight="1" x14ac:dyDescent="0.25">
      <c r="A7" s="268"/>
      <c r="B7" s="242" t="s">
        <v>71</v>
      </c>
      <c r="C7" s="53" t="s">
        <v>8</v>
      </c>
      <c r="D7" s="235" t="s">
        <v>29</v>
      </c>
      <c r="E7" s="235" t="s">
        <v>39</v>
      </c>
      <c r="F7" s="236">
        <v>4</v>
      </c>
      <c r="G7" s="236">
        <v>3</v>
      </c>
      <c r="H7" s="236">
        <v>2</v>
      </c>
      <c r="I7" s="263">
        <f t="shared" ref="I7" si="0">F7*G7*H7</f>
        <v>24</v>
      </c>
      <c r="J7" s="273" t="s">
        <v>110</v>
      </c>
      <c r="K7" s="275" t="s">
        <v>46</v>
      </c>
      <c r="L7" s="208" t="s">
        <v>111</v>
      </c>
      <c r="M7" s="209"/>
      <c r="N7" s="209"/>
      <c r="O7" s="210"/>
      <c r="P7" s="270" t="s">
        <v>97</v>
      </c>
      <c r="Q7" s="232"/>
      <c r="R7" s="225">
        <v>43792</v>
      </c>
      <c r="S7" s="223" t="s">
        <v>99</v>
      </c>
    </row>
    <row r="8" spans="1:19" ht="34.5" customHeight="1" x14ac:dyDescent="0.25">
      <c r="A8" s="269"/>
      <c r="B8" s="242"/>
      <c r="C8" s="53" t="s">
        <v>9</v>
      </c>
      <c r="D8" s="235"/>
      <c r="E8" s="235"/>
      <c r="F8" s="236"/>
      <c r="G8" s="236"/>
      <c r="H8" s="236"/>
      <c r="I8" s="263"/>
      <c r="J8" s="274"/>
      <c r="K8" s="275"/>
      <c r="L8" s="211"/>
      <c r="M8" s="212"/>
      <c r="N8" s="212"/>
      <c r="O8" s="213"/>
      <c r="P8" s="271"/>
      <c r="Q8" s="233"/>
      <c r="R8" s="226"/>
      <c r="S8" s="224"/>
    </row>
    <row r="9" spans="1:19" ht="67.5" customHeight="1" x14ac:dyDescent="0.25">
      <c r="A9" s="272" t="s">
        <v>118</v>
      </c>
      <c r="B9" s="272"/>
      <c r="C9" s="69" t="s">
        <v>120</v>
      </c>
      <c r="D9" s="69" t="s">
        <v>124</v>
      </c>
      <c r="E9" s="69" t="s">
        <v>119</v>
      </c>
      <c r="F9" s="23">
        <v>3</v>
      </c>
      <c r="G9" s="23">
        <v>2</v>
      </c>
      <c r="H9" s="37">
        <v>2</v>
      </c>
      <c r="I9" s="70">
        <v>12</v>
      </c>
      <c r="J9" s="69" t="s">
        <v>121</v>
      </c>
      <c r="K9" s="72" t="s">
        <v>122</v>
      </c>
      <c r="L9" s="205" t="s">
        <v>123</v>
      </c>
      <c r="M9" s="206"/>
      <c r="N9" s="206"/>
      <c r="O9" s="207"/>
      <c r="P9" s="63" t="s">
        <v>97</v>
      </c>
      <c r="Q9" s="22"/>
      <c r="R9" s="49">
        <v>43643</v>
      </c>
      <c r="S9" s="48" t="s">
        <v>99</v>
      </c>
    </row>
    <row r="10" spans="1:19" ht="32.2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36" customHeight="1" x14ac:dyDescent="0.25">
      <c r="A11" s="3"/>
      <c r="B11" s="186" t="s">
        <v>19</v>
      </c>
      <c r="C11" s="187" t="s">
        <v>38</v>
      </c>
      <c r="D11" s="189" t="s">
        <v>88</v>
      </c>
      <c r="E11" s="190"/>
      <c r="F11" s="191" t="s">
        <v>13</v>
      </c>
      <c r="G11" s="192"/>
      <c r="H11" s="192"/>
      <c r="I11" s="192"/>
      <c r="J11" s="192"/>
      <c r="K11" s="192"/>
      <c r="L11" s="193" t="s">
        <v>89</v>
      </c>
      <c r="M11" s="194"/>
      <c r="N11" s="194"/>
      <c r="O11" s="195"/>
      <c r="P11" s="176" t="s">
        <v>12</v>
      </c>
      <c r="Q11" s="177"/>
      <c r="R11" s="177"/>
      <c r="S11" s="178"/>
    </row>
    <row r="12" spans="1:19" ht="54" customHeight="1" x14ac:dyDescent="0.25">
      <c r="A12" s="3"/>
      <c r="B12" s="186"/>
      <c r="C12" s="188"/>
      <c r="D12" s="40" t="s">
        <v>21</v>
      </c>
      <c r="E12" s="40" t="s">
        <v>22</v>
      </c>
      <c r="F12" s="179" t="s">
        <v>20</v>
      </c>
      <c r="G12" s="179"/>
      <c r="H12" s="179"/>
      <c r="I12" s="179"/>
      <c r="J12" s="179"/>
      <c r="K12" s="40" t="s">
        <v>2</v>
      </c>
      <c r="L12" s="196"/>
      <c r="M12" s="197"/>
      <c r="N12" s="197"/>
      <c r="O12" s="198"/>
      <c r="P12" s="39" t="s">
        <v>90</v>
      </c>
      <c r="Q12" s="39" t="s">
        <v>91</v>
      </c>
      <c r="R12" s="39" t="s">
        <v>92</v>
      </c>
      <c r="S12" s="39" t="s">
        <v>87</v>
      </c>
    </row>
    <row r="13" spans="1:19" ht="71.25" customHeight="1" x14ac:dyDescent="0.25">
      <c r="A13" s="3"/>
      <c r="B13" s="41" t="s">
        <v>17</v>
      </c>
      <c r="C13" s="42" t="s">
        <v>68</v>
      </c>
      <c r="D13" s="43" t="s">
        <v>93</v>
      </c>
      <c r="E13" s="42"/>
      <c r="F13" s="180" t="s">
        <v>94</v>
      </c>
      <c r="G13" s="181"/>
      <c r="H13" s="181"/>
      <c r="I13" s="181"/>
      <c r="J13" s="182"/>
      <c r="K13" s="44" t="s">
        <v>95</v>
      </c>
      <c r="L13" s="183" t="s">
        <v>96</v>
      </c>
      <c r="M13" s="184"/>
      <c r="N13" s="184"/>
      <c r="O13" s="185"/>
      <c r="P13" s="45"/>
      <c r="Q13" s="45"/>
      <c r="R13" s="45" t="s">
        <v>109</v>
      </c>
      <c r="S13" s="45"/>
    </row>
  </sheetData>
  <mergeCells count="42">
    <mergeCell ref="P11:S11"/>
    <mergeCell ref="F12:J12"/>
    <mergeCell ref="F13:J13"/>
    <mergeCell ref="L13:O13"/>
    <mergeCell ref="L9:O9"/>
    <mergeCell ref="B11:B12"/>
    <mergeCell ref="C11:C12"/>
    <mergeCell ref="D11:E11"/>
    <mergeCell ref="F11:K11"/>
    <mergeCell ref="L11:O12"/>
    <mergeCell ref="A9:B9"/>
    <mergeCell ref="R7:R8"/>
    <mergeCell ref="S7:S8"/>
    <mergeCell ref="G7:G8"/>
    <mergeCell ref="H7:H8"/>
    <mergeCell ref="I7:I8"/>
    <mergeCell ref="J7:J8"/>
    <mergeCell ref="K7:K8"/>
    <mergeCell ref="L7:O8"/>
    <mergeCell ref="K4:K5"/>
    <mergeCell ref="L4:O5"/>
    <mergeCell ref="P4:S4"/>
    <mergeCell ref="B7:B8"/>
    <mergeCell ref="D7:D8"/>
    <mergeCell ref="E7:E8"/>
    <mergeCell ref="F7:F8"/>
    <mergeCell ref="A4:B5"/>
    <mergeCell ref="D4:D5"/>
    <mergeCell ref="E4:E5"/>
    <mergeCell ref="F4:I4"/>
    <mergeCell ref="J4:J5"/>
    <mergeCell ref="L6:O6"/>
    <mergeCell ref="A6:A8"/>
    <mergeCell ref="P7:P8"/>
    <mergeCell ref="Q7:Q8"/>
    <mergeCell ref="B1:C1"/>
    <mergeCell ref="D1:P1"/>
    <mergeCell ref="Q1:S1"/>
    <mergeCell ref="O2:S2"/>
    <mergeCell ref="B3:C3"/>
    <mergeCell ref="F3:K3"/>
    <mergeCell ref="L3:S3"/>
  </mergeCells>
  <pageMargins left="0.7" right="0.7" top="0.75" bottom="0.75" header="0.3" footer="0.3"/>
  <pageSetup paperSize="9" scale="4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5"/>
  <sheetViews>
    <sheetView view="pageBreakPreview" topLeftCell="E5" zoomScale="60" zoomScaleNormal="75" workbookViewId="0">
      <selection activeCell="V11" sqref="V11"/>
    </sheetView>
  </sheetViews>
  <sheetFormatPr baseColWidth="10" defaultRowHeight="15" x14ac:dyDescent="0.25"/>
  <cols>
    <col min="2" max="2" width="28" customWidth="1"/>
    <col min="3" max="3" width="22.85546875" customWidth="1"/>
    <col min="4" max="7" width="17.85546875" customWidth="1"/>
    <col min="8" max="8" width="31.140625" customWidth="1"/>
    <col min="9" max="9" width="24.7109375" customWidth="1"/>
    <col min="10" max="10" width="16.42578125" customWidth="1"/>
    <col min="11" max="11" width="31.7109375" customWidth="1"/>
    <col min="12" max="13" width="22.140625" customWidth="1"/>
    <col min="14" max="14" width="32.42578125" customWidth="1"/>
    <col min="15" max="15" width="21.140625" customWidth="1"/>
    <col min="22" max="22" width="18.85546875" customWidth="1"/>
  </cols>
  <sheetData>
    <row r="1" spans="1:23" ht="79.5" customHeight="1" x14ac:dyDescent="0.25">
      <c r="A1" s="3"/>
      <c r="B1" s="234" t="s">
        <v>7</v>
      </c>
      <c r="C1" s="234"/>
      <c r="D1" s="234"/>
      <c r="E1" s="246" t="s">
        <v>181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8"/>
      <c r="U1" s="258" t="s">
        <v>152</v>
      </c>
      <c r="V1" s="259"/>
      <c r="W1" s="260"/>
    </row>
    <row r="2" spans="1:23" ht="29.25" customHeight="1" x14ac:dyDescent="0.25">
      <c r="A2" s="3"/>
      <c r="B2" s="4" t="s">
        <v>11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7"/>
      <c r="P2" s="8"/>
      <c r="Q2" s="8"/>
      <c r="R2" s="8"/>
      <c r="S2" s="244" t="s">
        <v>182</v>
      </c>
      <c r="T2" s="244"/>
      <c r="U2" s="244"/>
      <c r="V2" s="244"/>
      <c r="W2" s="244"/>
    </row>
    <row r="3" spans="1:23" ht="48.75" customHeight="1" x14ac:dyDescent="0.25">
      <c r="A3" s="3"/>
      <c r="B3" s="261" t="s">
        <v>18</v>
      </c>
      <c r="C3" s="261"/>
      <c r="D3" s="262"/>
      <c r="E3" s="76"/>
      <c r="F3" s="76"/>
      <c r="G3" s="76"/>
      <c r="H3" s="68"/>
      <c r="I3" s="76"/>
      <c r="J3" s="76"/>
      <c r="K3" s="68"/>
      <c r="L3" s="76"/>
      <c r="M3" s="76"/>
      <c r="N3" s="298" t="s">
        <v>13</v>
      </c>
      <c r="O3" s="299"/>
      <c r="P3" s="255" t="s">
        <v>14</v>
      </c>
      <c r="Q3" s="256"/>
      <c r="R3" s="256"/>
      <c r="S3" s="256"/>
      <c r="T3" s="256"/>
      <c r="U3" s="256"/>
      <c r="V3" s="256"/>
      <c r="W3" s="257"/>
    </row>
    <row r="4" spans="1:23" ht="36" customHeight="1" x14ac:dyDescent="0.25">
      <c r="A4" s="300" t="s">
        <v>69</v>
      </c>
      <c r="B4" s="300"/>
      <c r="C4" s="302" t="s">
        <v>0</v>
      </c>
      <c r="D4" s="303"/>
      <c r="E4" s="249" t="s">
        <v>37</v>
      </c>
      <c r="F4" s="251"/>
      <c r="G4" s="253" t="s">
        <v>143</v>
      </c>
      <c r="H4" s="243" t="s">
        <v>159</v>
      </c>
      <c r="I4" s="253" t="s">
        <v>144</v>
      </c>
      <c r="J4" s="176" t="s">
        <v>145</v>
      </c>
      <c r="K4" s="178"/>
      <c r="L4" s="253" t="s">
        <v>148</v>
      </c>
      <c r="M4" s="74" t="s">
        <v>149</v>
      </c>
      <c r="N4" s="253" t="s">
        <v>1</v>
      </c>
      <c r="O4" s="243" t="s">
        <v>2</v>
      </c>
      <c r="P4" s="199" t="s">
        <v>42</v>
      </c>
      <c r="Q4" s="200"/>
      <c r="R4" s="200"/>
      <c r="S4" s="201"/>
      <c r="T4" s="249" t="s">
        <v>12</v>
      </c>
      <c r="U4" s="250"/>
      <c r="V4" s="250"/>
      <c r="W4" s="251"/>
    </row>
    <row r="5" spans="1:23" ht="51" customHeight="1" x14ac:dyDescent="0.25">
      <c r="A5" s="300"/>
      <c r="B5" s="300"/>
      <c r="C5" s="304"/>
      <c r="D5" s="305"/>
      <c r="E5" s="104" t="s">
        <v>141</v>
      </c>
      <c r="F5" s="104" t="s">
        <v>142</v>
      </c>
      <c r="G5" s="301"/>
      <c r="H5" s="243"/>
      <c r="I5" s="301"/>
      <c r="J5" s="77" t="s">
        <v>146</v>
      </c>
      <c r="K5" s="77" t="s">
        <v>147</v>
      </c>
      <c r="L5" s="301"/>
      <c r="M5" s="75" t="s">
        <v>6</v>
      </c>
      <c r="N5" s="254"/>
      <c r="O5" s="253"/>
      <c r="P5" s="202"/>
      <c r="Q5" s="203"/>
      <c r="R5" s="203"/>
      <c r="S5" s="204"/>
      <c r="T5" s="67" t="s">
        <v>21</v>
      </c>
      <c r="U5" s="67" t="s">
        <v>22</v>
      </c>
      <c r="V5" s="67" t="s">
        <v>86</v>
      </c>
      <c r="W5" s="67" t="s">
        <v>87</v>
      </c>
    </row>
    <row r="6" spans="1:23" ht="110.25" customHeight="1" x14ac:dyDescent="0.25">
      <c r="A6" s="276" t="s">
        <v>101</v>
      </c>
      <c r="B6" s="87" t="s">
        <v>155</v>
      </c>
      <c r="C6" s="278" t="s">
        <v>102</v>
      </c>
      <c r="D6" s="279"/>
      <c r="E6" s="88"/>
      <c r="F6" s="88" t="s">
        <v>39</v>
      </c>
      <c r="G6" s="89">
        <v>4</v>
      </c>
      <c r="H6" s="90" t="s">
        <v>103</v>
      </c>
      <c r="I6" s="89">
        <v>2</v>
      </c>
      <c r="J6" s="107"/>
      <c r="K6" s="108" t="s">
        <v>168</v>
      </c>
      <c r="L6" s="91">
        <v>2</v>
      </c>
      <c r="M6" s="92">
        <f>G6*I6*L6</f>
        <v>16</v>
      </c>
      <c r="N6" s="93" t="s">
        <v>104</v>
      </c>
      <c r="O6" s="91" t="s">
        <v>105</v>
      </c>
      <c r="P6" s="280" t="s">
        <v>169</v>
      </c>
      <c r="Q6" s="281"/>
      <c r="R6" s="281"/>
      <c r="S6" s="282"/>
      <c r="T6" s="94"/>
      <c r="U6" s="94"/>
      <c r="V6" s="94" t="s">
        <v>170</v>
      </c>
      <c r="W6" s="94"/>
    </row>
    <row r="7" spans="1:23" ht="101.25" customHeight="1" x14ac:dyDescent="0.25">
      <c r="A7" s="277"/>
      <c r="B7" s="87" t="s">
        <v>158</v>
      </c>
      <c r="C7" s="278" t="s">
        <v>160</v>
      </c>
      <c r="D7" s="279"/>
      <c r="E7" s="88" t="s">
        <v>161</v>
      </c>
      <c r="F7" s="88" t="s">
        <v>39</v>
      </c>
      <c r="G7" s="89">
        <v>4</v>
      </c>
      <c r="H7" s="90" t="s">
        <v>164</v>
      </c>
      <c r="I7" s="89">
        <v>3</v>
      </c>
      <c r="J7" s="107" t="s">
        <v>162</v>
      </c>
      <c r="K7" s="108" t="s">
        <v>163</v>
      </c>
      <c r="L7" s="91">
        <v>2</v>
      </c>
      <c r="M7" s="92">
        <f>G7*I7*L7</f>
        <v>24</v>
      </c>
      <c r="N7" s="93" t="s">
        <v>166</v>
      </c>
      <c r="O7" s="91" t="s">
        <v>165</v>
      </c>
      <c r="P7" s="280" t="s">
        <v>167</v>
      </c>
      <c r="Q7" s="281"/>
      <c r="R7" s="281"/>
      <c r="S7" s="282"/>
      <c r="T7" s="172" t="s">
        <v>97</v>
      </c>
      <c r="U7" s="123"/>
      <c r="V7" s="124">
        <v>44160</v>
      </c>
      <c r="W7" s="122" t="s">
        <v>99</v>
      </c>
    </row>
    <row r="8" spans="1:23" ht="90" customHeight="1" x14ac:dyDescent="0.25">
      <c r="A8" s="95" t="s">
        <v>112</v>
      </c>
      <c r="B8" s="96" t="s">
        <v>112</v>
      </c>
      <c r="C8" s="278" t="s">
        <v>113</v>
      </c>
      <c r="D8" s="279"/>
      <c r="E8" s="88"/>
      <c r="F8" s="88" t="s">
        <v>171</v>
      </c>
      <c r="G8" s="89">
        <v>1</v>
      </c>
      <c r="H8" s="90" t="s">
        <v>114</v>
      </c>
      <c r="I8" s="89">
        <v>2</v>
      </c>
      <c r="J8" s="107"/>
      <c r="K8" s="107" t="s">
        <v>172</v>
      </c>
      <c r="L8" s="89">
        <v>3</v>
      </c>
      <c r="M8" s="97">
        <f t="shared" ref="M8:M11" si="0">G8*I8*L8</f>
        <v>6</v>
      </c>
      <c r="N8" s="90" t="s">
        <v>115</v>
      </c>
      <c r="O8" s="90" t="s">
        <v>116</v>
      </c>
      <c r="P8" s="310" t="s">
        <v>117</v>
      </c>
      <c r="Q8" s="311"/>
      <c r="R8" s="311"/>
      <c r="S8" s="312"/>
      <c r="T8" s="173" t="s">
        <v>97</v>
      </c>
      <c r="U8" s="118"/>
      <c r="V8" s="119">
        <v>43910</v>
      </c>
      <c r="W8" s="125" t="s">
        <v>187</v>
      </c>
    </row>
    <row r="9" spans="1:23" ht="90" customHeight="1" x14ac:dyDescent="0.25">
      <c r="A9" s="292" t="s">
        <v>125</v>
      </c>
      <c r="B9" s="293"/>
      <c r="C9" s="289" t="s">
        <v>126</v>
      </c>
      <c r="D9" s="289"/>
      <c r="E9" s="88" t="s">
        <v>173</v>
      </c>
      <c r="F9" s="88" t="s">
        <v>174</v>
      </c>
      <c r="G9" s="89">
        <v>3</v>
      </c>
      <c r="H9" s="90" t="s">
        <v>127</v>
      </c>
      <c r="I9" s="89">
        <v>2</v>
      </c>
      <c r="J9" s="107"/>
      <c r="K9" s="107"/>
      <c r="L9" s="89">
        <v>2</v>
      </c>
      <c r="M9" s="97">
        <f t="shared" si="0"/>
        <v>12</v>
      </c>
      <c r="N9" s="90" t="s">
        <v>128</v>
      </c>
      <c r="O9" s="90" t="s">
        <v>129</v>
      </c>
      <c r="P9" s="290" t="s">
        <v>130</v>
      </c>
      <c r="Q9" s="309"/>
      <c r="R9" s="309"/>
      <c r="S9" s="291"/>
      <c r="T9" s="173" t="s">
        <v>97</v>
      </c>
      <c r="U9" s="118"/>
      <c r="V9" s="119">
        <v>44073</v>
      </c>
      <c r="W9" s="126" t="s">
        <v>99</v>
      </c>
    </row>
    <row r="10" spans="1:23" ht="72.75" customHeight="1" x14ac:dyDescent="0.25">
      <c r="A10" s="294"/>
      <c r="B10" s="295"/>
      <c r="C10" s="289" t="s">
        <v>175</v>
      </c>
      <c r="D10" s="289"/>
      <c r="E10" s="100" t="s">
        <v>176</v>
      </c>
      <c r="F10" s="100" t="s">
        <v>177</v>
      </c>
      <c r="G10" s="89">
        <v>3</v>
      </c>
      <c r="H10" s="99" t="s">
        <v>131</v>
      </c>
      <c r="I10" s="89">
        <v>3</v>
      </c>
      <c r="J10" s="109"/>
      <c r="K10" s="98" t="s">
        <v>178</v>
      </c>
      <c r="L10" s="101">
        <v>2</v>
      </c>
      <c r="M10" s="102">
        <f t="shared" si="0"/>
        <v>18</v>
      </c>
      <c r="N10" s="90" t="s">
        <v>132</v>
      </c>
      <c r="O10" s="99" t="s">
        <v>133</v>
      </c>
      <c r="P10" s="290" t="s">
        <v>134</v>
      </c>
      <c r="Q10" s="309"/>
      <c r="R10" s="309"/>
      <c r="S10" s="291"/>
      <c r="T10" s="174" t="s">
        <v>97</v>
      </c>
      <c r="U10" s="120"/>
      <c r="V10" s="121">
        <v>44086</v>
      </c>
      <c r="W10" s="120" t="s">
        <v>99</v>
      </c>
    </row>
    <row r="11" spans="1:23" ht="105.75" customHeight="1" x14ac:dyDescent="0.25">
      <c r="A11" s="296" t="s">
        <v>136</v>
      </c>
      <c r="B11" s="297"/>
      <c r="C11" s="290" t="s">
        <v>137</v>
      </c>
      <c r="D11" s="291"/>
      <c r="E11" s="100" t="s">
        <v>179</v>
      </c>
      <c r="F11" s="100" t="s">
        <v>180</v>
      </c>
      <c r="G11" s="89">
        <v>3</v>
      </c>
      <c r="H11" s="99" t="s">
        <v>138</v>
      </c>
      <c r="I11" s="89">
        <v>2</v>
      </c>
      <c r="J11" s="109"/>
      <c r="K11" s="109" t="s">
        <v>178</v>
      </c>
      <c r="L11" s="89">
        <v>3</v>
      </c>
      <c r="M11" s="102">
        <f t="shared" si="0"/>
        <v>18</v>
      </c>
      <c r="N11" s="90" t="s">
        <v>139</v>
      </c>
      <c r="O11" s="99" t="s">
        <v>133</v>
      </c>
      <c r="P11" s="278" t="s">
        <v>140</v>
      </c>
      <c r="Q11" s="287"/>
      <c r="R11" s="287"/>
      <c r="S11" s="279"/>
      <c r="T11" s="174" t="s">
        <v>97</v>
      </c>
      <c r="U11" s="120"/>
      <c r="V11" s="121">
        <v>44090</v>
      </c>
      <c r="W11" s="120" t="s">
        <v>99</v>
      </c>
    </row>
    <row r="12" spans="1:23" ht="32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36" customHeight="1" x14ac:dyDescent="0.25">
      <c r="A13" s="3"/>
      <c r="B13" s="186" t="s">
        <v>19</v>
      </c>
      <c r="C13" s="186" t="s">
        <v>38</v>
      </c>
      <c r="D13" s="186"/>
      <c r="E13" s="186" t="s">
        <v>88</v>
      </c>
      <c r="F13" s="186"/>
      <c r="G13" s="186" t="s">
        <v>13</v>
      </c>
      <c r="H13" s="186"/>
      <c r="I13" s="186"/>
      <c r="J13" s="189" t="s">
        <v>89</v>
      </c>
      <c r="K13" s="283"/>
      <c r="L13" s="190"/>
      <c r="M13" s="288" t="s">
        <v>12</v>
      </c>
      <c r="N13" s="288"/>
      <c r="O13" s="288"/>
      <c r="P13" s="288"/>
      <c r="S13" s="80"/>
      <c r="T13" s="308"/>
      <c r="U13" s="308"/>
      <c r="V13" s="308"/>
      <c r="W13" s="308"/>
    </row>
    <row r="14" spans="1:23" ht="54" customHeight="1" x14ac:dyDescent="0.25">
      <c r="A14" s="3"/>
      <c r="B14" s="186"/>
      <c r="C14" s="78" t="s">
        <v>141</v>
      </c>
      <c r="D14" s="78" t="s">
        <v>142</v>
      </c>
      <c r="E14" s="73" t="s">
        <v>21</v>
      </c>
      <c r="F14" s="73" t="s">
        <v>22</v>
      </c>
      <c r="G14" s="306" t="s">
        <v>1</v>
      </c>
      <c r="H14" s="307"/>
      <c r="I14" s="40" t="s">
        <v>150</v>
      </c>
      <c r="J14" s="284"/>
      <c r="K14" s="285"/>
      <c r="L14" s="286"/>
      <c r="M14" s="39" t="s">
        <v>90</v>
      </c>
      <c r="N14" s="39" t="s">
        <v>91</v>
      </c>
      <c r="O14" s="39" t="s">
        <v>92</v>
      </c>
      <c r="P14" s="39" t="s">
        <v>87</v>
      </c>
      <c r="Q14" s="80"/>
      <c r="S14" s="80"/>
      <c r="T14" s="81"/>
      <c r="U14" s="81"/>
      <c r="V14" s="81"/>
      <c r="W14" s="81"/>
    </row>
    <row r="15" spans="1:23" ht="71.25" customHeight="1" x14ac:dyDescent="0.25">
      <c r="A15" s="3"/>
      <c r="B15" s="99" t="s">
        <v>17</v>
      </c>
      <c r="C15" s="99" t="s">
        <v>68</v>
      </c>
      <c r="D15" s="113" t="s">
        <v>154</v>
      </c>
      <c r="E15" s="112" t="s">
        <v>97</v>
      </c>
      <c r="F15" s="112"/>
      <c r="G15" s="278" t="s">
        <v>151</v>
      </c>
      <c r="H15" s="279"/>
      <c r="I15" s="112" t="s">
        <v>95</v>
      </c>
      <c r="J15" s="278" t="s">
        <v>96</v>
      </c>
      <c r="K15" s="287"/>
      <c r="L15" s="279"/>
      <c r="M15" s="113" t="s">
        <v>97</v>
      </c>
      <c r="N15" s="127"/>
      <c r="O15" s="105">
        <v>44104</v>
      </c>
      <c r="P15" s="109" t="s">
        <v>153</v>
      </c>
      <c r="Q15" s="82"/>
      <c r="S15" s="82"/>
      <c r="T15" s="83"/>
      <c r="U15" s="83"/>
      <c r="V15" s="83"/>
      <c r="W15" s="83"/>
    </row>
  </sheetData>
  <mergeCells count="44">
    <mergeCell ref="C13:D13"/>
    <mergeCell ref="G13:I13"/>
    <mergeCell ref="G14:H14"/>
    <mergeCell ref="T13:W13"/>
    <mergeCell ref="P4:S5"/>
    <mergeCell ref="T4:W4"/>
    <mergeCell ref="P6:S6"/>
    <mergeCell ref="O4:O5"/>
    <mergeCell ref="P11:S11"/>
    <mergeCell ref="P9:S9"/>
    <mergeCell ref="P8:S8"/>
    <mergeCell ref="P10:S10"/>
    <mergeCell ref="A4:B5"/>
    <mergeCell ref="H4:H5"/>
    <mergeCell ref="N4:N5"/>
    <mergeCell ref="E4:F4"/>
    <mergeCell ref="G4:G5"/>
    <mergeCell ref="I4:I5"/>
    <mergeCell ref="J4:K4"/>
    <mergeCell ref="L4:L5"/>
    <mergeCell ref="C4:D5"/>
    <mergeCell ref="B1:D1"/>
    <mergeCell ref="U1:W1"/>
    <mergeCell ref="S2:W2"/>
    <mergeCell ref="B3:D3"/>
    <mergeCell ref="P3:W3"/>
    <mergeCell ref="N3:O3"/>
    <mergeCell ref="E1:T1"/>
    <mergeCell ref="A6:A7"/>
    <mergeCell ref="C7:D7"/>
    <mergeCell ref="P7:S7"/>
    <mergeCell ref="G15:H15"/>
    <mergeCell ref="J13:L14"/>
    <mergeCell ref="J15:L15"/>
    <mergeCell ref="M13:P13"/>
    <mergeCell ref="C6:D6"/>
    <mergeCell ref="C8:D8"/>
    <mergeCell ref="C10:D10"/>
    <mergeCell ref="C9:D9"/>
    <mergeCell ref="C11:D11"/>
    <mergeCell ref="B13:B14"/>
    <mergeCell ref="A9:B10"/>
    <mergeCell ref="A11:B11"/>
    <mergeCell ref="E13:F13"/>
  </mergeCells>
  <pageMargins left="0.70866141732283472" right="0.70866141732283472" top="0.74803149606299213" bottom="0.74803149606299213" header="0.31496062992125984" footer="0.31496062992125984"/>
  <pageSetup paperSize="9" scale="30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view="pageBreakPreview" topLeftCell="D1" zoomScale="60" zoomScaleNormal="73" workbookViewId="0">
      <selection activeCell="V7" sqref="V7"/>
    </sheetView>
  </sheetViews>
  <sheetFormatPr baseColWidth="10" defaultRowHeight="15" x14ac:dyDescent="0.25"/>
  <cols>
    <col min="2" max="2" width="28" customWidth="1"/>
    <col min="3" max="3" width="19.140625" customWidth="1"/>
    <col min="4" max="4" width="22.5703125" customWidth="1"/>
    <col min="5" max="5" width="17.85546875" customWidth="1"/>
    <col min="6" max="6" width="19.28515625" customWidth="1"/>
    <col min="7" max="7" width="17.85546875" customWidth="1"/>
    <col min="8" max="8" width="27.28515625" customWidth="1"/>
    <col min="9" max="9" width="19.5703125" customWidth="1"/>
    <col min="10" max="10" width="18.28515625" customWidth="1"/>
    <col min="11" max="11" width="31.7109375" customWidth="1"/>
    <col min="12" max="13" width="22.140625" customWidth="1"/>
    <col min="14" max="14" width="32.42578125" customWidth="1"/>
    <col min="15" max="15" width="20.5703125" customWidth="1"/>
    <col min="22" max="22" width="18.42578125" customWidth="1"/>
  </cols>
  <sheetData>
    <row r="1" spans="1:23" ht="78" customHeight="1" x14ac:dyDescent="0.25">
      <c r="A1" s="3"/>
      <c r="B1" s="341" t="s">
        <v>196</v>
      </c>
      <c r="C1" s="341"/>
      <c r="D1" s="341"/>
      <c r="E1" s="246" t="s">
        <v>186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8"/>
      <c r="U1" s="258" t="s">
        <v>152</v>
      </c>
      <c r="V1" s="259"/>
      <c r="W1" s="260"/>
    </row>
    <row r="2" spans="1:23" ht="29.25" customHeight="1" x14ac:dyDescent="0.25">
      <c r="A2" s="3"/>
      <c r="B2" s="136" t="s">
        <v>11</v>
      </c>
      <c r="C2" s="111"/>
      <c r="D2" s="111"/>
      <c r="E2" s="111"/>
      <c r="F2" s="111"/>
      <c r="G2" s="4"/>
      <c r="H2" s="4"/>
      <c r="I2" s="4"/>
      <c r="J2" s="4"/>
      <c r="K2" s="4"/>
      <c r="L2" s="4"/>
      <c r="M2" s="4"/>
      <c r="N2" s="6"/>
      <c r="O2" s="7"/>
      <c r="P2" s="8"/>
      <c r="Q2" s="8"/>
      <c r="R2" s="8"/>
      <c r="S2" s="287" t="s">
        <v>237</v>
      </c>
      <c r="T2" s="287"/>
      <c r="U2" s="287"/>
      <c r="V2" s="287"/>
      <c r="W2" s="287"/>
    </row>
    <row r="3" spans="1:23" ht="48.75" customHeight="1" x14ac:dyDescent="0.25">
      <c r="A3" s="3"/>
      <c r="B3" s="342" t="s">
        <v>18</v>
      </c>
      <c r="C3" s="342"/>
      <c r="D3" s="343"/>
      <c r="E3" s="114"/>
      <c r="F3" s="114"/>
      <c r="G3" s="85"/>
      <c r="H3" s="85"/>
      <c r="I3" s="85"/>
      <c r="J3" s="85"/>
      <c r="K3" s="85"/>
      <c r="L3" s="85"/>
      <c r="M3" s="85"/>
      <c r="N3" s="344" t="s">
        <v>13</v>
      </c>
      <c r="O3" s="345"/>
      <c r="P3" s="346" t="s">
        <v>14</v>
      </c>
      <c r="Q3" s="347"/>
      <c r="R3" s="347"/>
      <c r="S3" s="347"/>
      <c r="T3" s="347"/>
      <c r="U3" s="347"/>
      <c r="V3" s="347"/>
      <c r="W3" s="348"/>
    </row>
    <row r="4" spans="1:23" ht="36" customHeight="1" x14ac:dyDescent="0.25">
      <c r="A4" s="324" t="s">
        <v>69</v>
      </c>
      <c r="B4" s="324"/>
      <c r="C4" s="329" t="s">
        <v>0</v>
      </c>
      <c r="D4" s="330"/>
      <c r="E4" s="326" t="s">
        <v>37</v>
      </c>
      <c r="F4" s="328"/>
      <c r="G4" s="333" t="s">
        <v>143</v>
      </c>
      <c r="H4" s="335" t="s">
        <v>159</v>
      </c>
      <c r="I4" s="336" t="s">
        <v>144</v>
      </c>
      <c r="J4" s="326" t="s">
        <v>145</v>
      </c>
      <c r="K4" s="328"/>
      <c r="L4" s="336" t="s">
        <v>148</v>
      </c>
      <c r="M4" s="134" t="s">
        <v>149</v>
      </c>
      <c r="N4" s="336" t="s">
        <v>1</v>
      </c>
      <c r="O4" s="324" t="s">
        <v>2</v>
      </c>
      <c r="P4" s="329" t="s">
        <v>42</v>
      </c>
      <c r="Q4" s="339"/>
      <c r="R4" s="339"/>
      <c r="S4" s="330"/>
      <c r="T4" s="326" t="s">
        <v>12</v>
      </c>
      <c r="U4" s="327"/>
      <c r="V4" s="327"/>
      <c r="W4" s="328"/>
    </row>
    <row r="5" spans="1:23" ht="121.5" customHeight="1" x14ac:dyDescent="0.25">
      <c r="A5" s="324"/>
      <c r="B5" s="324"/>
      <c r="C5" s="331"/>
      <c r="D5" s="332"/>
      <c r="E5" s="133" t="s">
        <v>141</v>
      </c>
      <c r="F5" s="133" t="s">
        <v>142</v>
      </c>
      <c r="G5" s="334"/>
      <c r="H5" s="335"/>
      <c r="I5" s="337"/>
      <c r="J5" s="77" t="s">
        <v>146</v>
      </c>
      <c r="K5" s="77" t="s">
        <v>147</v>
      </c>
      <c r="L5" s="337"/>
      <c r="M5" s="135" t="s">
        <v>6</v>
      </c>
      <c r="N5" s="338"/>
      <c r="O5" s="336"/>
      <c r="P5" s="331"/>
      <c r="Q5" s="340"/>
      <c r="R5" s="340"/>
      <c r="S5" s="332"/>
      <c r="T5" s="134" t="s">
        <v>21</v>
      </c>
      <c r="U5" s="134" t="s">
        <v>22</v>
      </c>
      <c r="V5" s="134" t="s">
        <v>86</v>
      </c>
      <c r="W5" s="134" t="s">
        <v>87</v>
      </c>
    </row>
    <row r="6" spans="1:23" ht="111.75" customHeight="1" x14ac:dyDescent="0.25">
      <c r="A6" s="276" t="s">
        <v>101</v>
      </c>
      <c r="B6" s="87" t="s">
        <v>155</v>
      </c>
      <c r="C6" s="290" t="s">
        <v>102</v>
      </c>
      <c r="D6" s="291"/>
      <c r="E6" s="107" t="s">
        <v>216</v>
      </c>
      <c r="F6" s="107" t="s">
        <v>39</v>
      </c>
      <c r="G6" s="89">
        <v>4</v>
      </c>
      <c r="H6" s="90" t="s">
        <v>103</v>
      </c>
      <c r="I6" s="89">
        <v>2</v>
      </c>
      <c r="J6" s="107" t="s">
        <v>217</v>
      </c>
      <c r="K6" s="108" t="s">
        <v>217</v>
      </c>
      <c r="L6" s="123">
        <v>2</v>
      </c>
      <c r="M6" s="92">
        <f>G6*I6*L6</f>
        <v>16</v>
      </c>
      <c r="N6" s="142" t="s">
        <v>218</v>
      </c>
      <c r="O6" s="91" t="s">
        <v>191</v>
      </c>
      <c r="P6" s="280" t="s">
        <v>219</v>
      </c>
      <c r="Q6" s="281"/>
      <c r="R6" s="281"/>
      <c r="S6" s="282"/>
      <c r="T6" s="94" t="s">
        <v>97</v>
      </c>
      <c r="U6" s="94"/>
      <c r="V6" s="153">
        <v>44532</v>
      </c>
      <c r="W6" s="94" t="s">
        <v>99</v>
      </c>
    </row>
    <row r="7" spans="1:23" ht="106.5" customHeight="1" x14ac:dyDescent="0.25">
      <c r="A7" s="277"/>
      <c r="B7" s="87" t="s">
        <v>158</v>
      </c>
      <c r="C7" s="290" t="s">
        <v>160</v>
      </c>
      <c r="D7" s="291"/>
      <c r="E7" s="107" t="s">
        <v>161</v>
      </c>
      <c r="F7" s="107" t="s">
        <v>39</v>
      </c>
      <c r="G7" s="89">
        <v>4</v>
      </c>
      <c r="H7" s="90" t="s">
        <v>164</v>
      </c>
      <c r="I7" s="106">
        <v>3</v>
      </c>
      <c r="J7" s="107" t="s">
        <v>220</v>
      </c>
      <c r="K7" s="108" t="s">
        <v>221</v>
      </c>
      <c r="L7" s="139">
        <v>2</v>
      </c>
      <c r="M7" s="102">
        <f>G7*I7*L7</f>
        <v>24</v>
      </c>
      <c r="N7" s="128" t="s">
        <v>194</v>
      </c>
      <c r="O7" s="108" t="s">
        <v>192</v>
      </c>
      <c r="P7" s="325" t="s">
        <v>185</v>
      </c>
      <c r="Q7" s="325"/>
      <c r="R7" s="325"/>
      <c r="S7" s="325"/>
      <c r="T7" s="110" t="s">
        <v>97</v>
      </c>
      <c r="U7" s="110"/>
      <c r="V7" s="153">
        <v>44532</v>
      </c>
      <c r="W7" s="94" t="s">
        <v>99</v>
      </c>
    </row>
    <row r="8" spans="1:23" ht="102.75" customHeight="1" x14ac:dyDescent="0.25">
      <c r="A8" s="280" t="s">
        <v>200</v>
      </c>
      <c r="B8" s="282"/>
      <c r="C8" s="280" t="s">
        <v>201</v>
      </c>
      <c r="D8" s="282"/>
      <c r="E8" s="108" t="s">
        <v>202</v>
      </c>
      <c r="F8" s="108" t="s">
        <v>203</v>
      </c>
      <c r="G8" s="108">
        <v>4</v>
      </c>
      <c r="H8" s="141" t="s">
        <v>204</v>
      </c>
      <c r="I8" s="139">
        <v>3</v>
      </c>
      <c r="J8" s="141" t="s">
        <v>205</v>
      </c>
      <c r="K8" s="141" t="s">
        <v>206</v>
      </c>
      <c r="L8" s="139">
        <v>2</v>
      </c>
      <c r="M8" s="102">
        <f>G8*I8*L8</f>
        <v>24</v>
      </c>
      <c r="N8" s="141" t="s">
        <v>222</v>
      </c>
      <c r="O8" s="141" t="s">
        <v>207</v>
      </c>
      <c r="P8" s="280" t="s">
        <v>208</v>
      </c>
      <c r="Q8" s="281"/>
      <c r="R8" s="281"/>
      <c r="S8" s="282"/>
      <c r="T8" s="141"/>
      <c r="U8" s="140"/>
      <c r="V8" s="154" t="s">
        <v>238</v>
      </c>
      <c r="W8" s="140"/>
    </row>
    <row r="9" spans="1:23" ht="76.5" customHeight="1" x14ac:dyDescent="0.25">
      <c r="A9" s="349" t="s">
        <v>245</v>
      </c>
      <c r="B9" s="350"/>
      <c r="C9" s="280" t="s">
        <v>227</v>
      </c>
      <c r="D9" s="282"/>
      <c r="E9" s="108" t="s">
        <v>228</v>
      </c>
      <c r="F9" s="108" t="s">
        <v>229</v>
      </c>
      <c r="G9" s="108">
        <v>4</v>
      </c>
      <c r="H9" s="141" t="s">
        <v>231</v>
      </c>
      <c r="I9" s="139">
        <v>3</v>
      </c>
      <c r="J9" s="141" t="s">
        <v>233</v>
      </c>
      <c r="K9" s="141" t="s">
        <v>232</v>
      </c>
      <c r="L9" s="139">
        <v>2</v>
      </c>
      <c r="M9" s="102">
        <v>24</v>
      </c>
      <c r="N9" s="141" t="s">
        <v>234</v>
      </c>
      <c r="O9" s="141" t="s">
        <v>235</v>
      </c>
      <c r="P9" s="280" t="s">
        <v>236</v>
      </c>
      <c r="Q9" s="281"/>
      <c r="R9" s="281"/>
      <c r="S9" s="282"/>
      <c r="T9" s="141"/>
      <c r="U9" s="140"/>
      <c r="V9" s="154" t="s">
        <v>238</v>
      </c>
      <c r="W9" s="140"/>
    </row>
    <row r="10" spans="1:23" ht="93" customHeight="1" x14ac:dyDescent="0.25">
      <c r="A10" s="280" t="s">
        <v>200</v>
      </c>
      <c r="B10" s="282"/>
      <c r="C10" s="280" t="s">
        <v>209</v>
      </c>
      <c r="D10" s="282"/>
      <c r="E10" s="108" t="s">
        <v>211</v>
      </c>
      <c r="F10" s="108" t="s">
        <v>210</v>
      </c>
      <c r="G10" s="108">
        <v>4</v>
      </c>
      <c r="H10" s="141" t="s">
        <v>212</v>
      </c>
      <c r="I10" s="139">
        <v>2</v>
      </c>
      <c r="J10" s="141" t="s">
        <v>213</v>
      </c>
      <c r="K10" s="141" t="s">
        <v>214</v>
      </c>
      <c r="L10" s="108">
        <v>2</v>
      </c>
      <c r="M10" s="102">
        <v>16</v>
      </c>
      <c r="N10" s="141" t="s">
        <v>223</v>
      </c>
      <c r="O10" s="141" t="s">
        <v>207</v>
      </c>
      <c r="P10" s="280" t="s">
        <v>215</v>
      </c>
      <c r="Q10" s="281"/>
      <c r="R10" s="281"/>
      <c r="S10" s="282"/>
      <c r="T10" s="141"/>
      <c r="U10" s="140"/>
      <c r="V10" s="154" t="s">
        <v>238</v>
      </c>
      <c r="W10" s="140"/>
    </row>
    <row r="11" spans="1:23" ht="32.2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07.25" customHeight="1" x14ac:dyDescent="0.25">
      <c r="A12" s="3"/>
      <c r="B12" s="317" t="s">
        <v>19</v>
      </c>
      <c r="C12" s="317" t="s">
        <v>38</v>
      </c>
      <c r="D12" s="317"/>
      <c r="E12" s="317" t="s">
        <v>88</v>
      </c>
      <c r="F12" s="317"/>
      <c r="G12" s="317" t="s">
        <v>13</v>
      </c>
      <c r="H12" s="317"/>
      <c r="I12" s="317"/>
      <c r="J12" s="318" t="s">
        <v>89</v>
      </c>
      <c r="K12" s="319"/>
      <c r="L12" s="320"/>
      <c r="M12" s="324" t="s">
        <v>12</v>
      </c>
      <c r="N12" s="324"/>
      <c r="O12" s="324"/>
      <c r="P12" s="324"/>
      <c r="S12" s="80"/>
      <c r="T12" s="308"/>
      <c r="U12" s="308"/>
      <c r="V12" s="308"/>
      <c r="W12" s="308"/>
    </row>
    <row r="13" spans="1:23" ht="112.5" customHeight="1" x14ac:dyDescent="0.25">
      <c r="A13" s="3"/>
      <c r="B13" s="317"/>
      <c r="C13" s="115" t="s">
        <v>141</v>
      </c>
      <c r="D13" s="115" t="s">
        <v>142</v>
      </c>
      <c r="E13" s="116" t="s">
        <v>21</v>
      </c>
      <c r="F13" s="116" t="s">
        <v>22</v>
      </c>
      <c r="G13" s="313" t="s">
        <v>1</v>
      </c>
      <c r="H13" s="314"/>
      <c r="I13" s="115" t="s">
        <v>150</v>
      </c>
      <c r="J13" s="321"/>
      <c r="K13" s="322"/>
      <c r="L13" s="323"/>
      <c r="M13" s="117" t="s">
        <v>90</v>
      </c>
      <c r="N13" s="117" t="s">
        <v>91</v>
      </c>
      <c r="O13" s="117" t="s">
        <v>92</v>
      </c>
      <c r="P13" s="117" t="s">
        <v>87</v>
      </c>
      <c r="Q13" s="80"/>
      <c r="S13" s="80"/>
      <c r="T13" s="86"/>
      <c r="U13" s="86"/>
      <c r="V13" s="86"/>
      <c r="W13" s="86"/>
    </row>
    <row r="14" spans="1:23" ht="84.75" customHeight="1" x14ac:dyDescent="0.25">
      <c r="A14" s="3"/>
      <c r="B14" s="99" t="s">
        <v>224</v>
      </c>
      <c r="C14" s="99" t="s">
        <v>188</v>
      </c>
      <c r="D14" s="130" t="s">
        <v>189</v>
      </c>
      <c r="E14" s="137" t="s">
        <v>97</v>
      </c>
      <c r="F14" s="129"/>
      <c r="G14" s="290" t="s">
        <v>195</v>
      </c>
      <c r="H14" s="291"/>
      <c r="I14" s="131" t="s">
        <v>193</v>
      </c>
      <c r="J14" s="290" t="s">
        <v>190</v>
      </c>
      <c r="K14" s="309"/>
      <c r="L14" s="291"/>
      <c r="M14" s="110"/>
      <c r="N14" s="110"/>
      <c r="O14" s="154" t="s">
        <v>238</v>
      </c>
      <c r="P14" s="110"/>
      <c r="Q14" s="80"/>
      <c r="S14" s="80"/>
      <c r="T14" s="132"/>
      <c r="U14" s="132"/>
      <c r="V14" s="132"/>
      <c r="W14" s="132"/>
    </row>
    <row r="15" spans="1:23" ht="138.75" customHeight="1" x14ac:dyDescent="0.25">
      <c r="A15" s="3"/>
      <c r="B15" s="99" t="s">
        <v>197</v>
      </c>
      <c r="C15" s="99" t="s">
        <v>198</v>
      </c>
      <c r="D15" s="130" t="s">
        <v>185</v>
      </c>
      <c r="E15" s="137" t="s">
        <v>97</v>
      </c>
      <c r="F15" s="112"/>
      <c r="G15" s="315" t="s">
        <v>226</v>
      </c>
      <c r="H15" s="316"/>
      <c r="I15" s="138" t="s">
        <v>225</v>
      </c>
      <c r="J15" s="290" t="s">
        <v>199</v>
      </c>
      <c r="K15" s="309"/>
      <c r="L15" s="291"/>
      <c r="M15" s="113"/>
      <c r="N15" s="127"/>
      <c r="O15" s="154" t="s">
        <v>238</v>
      </c>
      <c r="P15" s="79"/>
      <c r="Q15" s="82"/>
      <c r="S15" s="82"/>
      <c r="T15" s="83"/>
      <c r="U15" s="83"/>
      <c r="V15" s="83"/>
      <c r="W15" s="83"/>
    </row>
  </sheetData>
  <mergeCells count="45">
    <mergeCell ref="C8:D8"/>
    <mergeCell ref="C10:D10"/>
    <mergeCell ref="P8:S8"/>
    <mergeCell ref="P10:S10"/>
    <mergeCell ref="A8:B8"/>
    <mergeCell ref="A10:B10"/>
    <mergeCell ref="A9:B9"/>
    <mergeCell ref="C9:D9"/>
    <mergeCell ref="P9:S9"/>
    <mergeCell ref="B1:D1"/>
    <mergeCell ref="E1:T1"/>
    <mergeCell ref="U1:W1"/>
    <mergeCell ref="S2:W2"/>
    <mergeCell ref="B3:D3"/>
    <mergeCell ref="N3:O3"/>
    <mergeCell ref="P3:W3"/>
    <mergeCell ref="T4:W4"/>
    <mergeCell ref="A4:B5"/>
    <mergeCell ref="C4:D5"/>
    <mergeCell ref="E4:F4"/>
    <mergeCell ref="G4:G5"/>
    <mergeCell ref="H4:H5"/>
    <mergeCell ref="I4:I5"/>
    <mergeCell ref="J4:K4"/>
    <mergeCell ref="L4:L5"/>
    <mergeCell ref="N4:N5"/>
    <mergeCell ref="O4:O5"/>
    <mergeCell ref="P4:S5"/>
    <mergeCell ref="A6:A7"/>
    <mergeCell ref="C6:D6"/>
    <mergeCell ref="P6:S6"/>
    <mergeCell ref="C7:D7"/>
    <mergeCell ref="P7:S7"/>
    <mergeCell ref="T12:W12"/>
    <mergeCell ref="G13:H13"/>
    <mergeCell ref="G15:H15"/>
    <mergeCell ref="J15:L15"/>
    <mergeCell ref="B12:B13"/>
    <mergeCell ref="C12:D12"/>
    <mergeCell ref="E12:F12"/>
    <mergeCell ref="G12:I12"/>
    <mergeCell ref="J12:L13"/>
    <mergeCell ref="M12:P12"/>
    <mergeCell ref="G14:H14"/>
    <mergeCell ref="J14:L14"/>
  </mergeCells>
  <pageMargins left="0.70866141732283472" right="0.70866141732283472" top="0.74803149606299213" bottom="0.74803149606299213" header="0.31496062992125984" footer="0.31496062992125984"/>
  <pageSetup paperSize="9" scale="29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view="pageBreakPreview" zoomScale="60" zoomScaleNormal="73" workbookViewId="0">
      <selection activeCell="N13" sqref="N13"/>
    </sheetView>
  </sheetViews>
  <sheetFormatPr baseColWidth="10" defaultRowHeight="15" x14ac:dyDescent="0.25"/>
  <cols>
    <col min="2" max="2" width="28" customWidth="1"/>
    <col min="3" max="3" width="19.140625" customWidth="1"/>
    <col min="4" max="4" width="22.5703125" customWidth="1"/>
    <col min="5" max="5" width="17.85546875" customWidth="1"/>
    <col min="6" max="6" width="19.28515625" customWidth="1"/>
    <col min="7" max="7" width="17.85546875" customWidth="1"/>
    <col min="8" max="8" width="27.28515625" customWidth="1"/>
    <col min="9" max="9" width="19.5703125" customWidth="1"/>
    <col min="10" max="10" width="18.28515625" customWidth="1"/>
    <col min="11" max="11" width="31.7109375" customWidth="1"/>
    <col min="12" max="13" width="22.140625" customWidth="1"/>
    <col min="14" max="14" width="32.42578125" customWidth="1"/>
    <col min="15" max="15" width="20.5703125" customWidth="1"/>
    <col min="22" max="22" width="18.42578125" customWidth="1"/>
  </cols>
  <sheetData>
    <row r="1" spans="1:23" ht="78" customHeight="1" x14ac:dyDescent="0.25">
      <c r="A1" s="3"/>
      <c r="B1" s="341" t="s">
        <v>196</v>
      </c>
      <c r="C1" s="341"/>
      <c r="D1" s="341"/>
      <c r="E1" s="246" t="s">
        <v>239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8"/>
      <c r="U1" s="258" t="s">
        <v>152</v>
      </c>
      <c r="V1" s="259"/>
      <c r="W1" s="260"/>
    </row>
    <row r="2" spans="1:23" ht="29.25" customHeight="1" x14ac:dyDescent="0.25">
      <c r="A2" s="3"/>
      <c r="B2" s="136" t="s">
        <v>11</v>
      </c>
      <c r="C2" s="111"/>
      <c r="D2" s="111"/>
      <c r="E2" s="111"/>
      <c r="F2" s="111"/>
      <c r="G2" s="4"/>
      <c r="H2" s="4"/>
      <c r="I2" s="4"/>
      <c r="J2" s="4"/>
      <c r="K2" s="4"/>
      <c r="L2" s="4"/>
      <c r="M2" s="4"/>
      <c r="N2" s="6"/>
      <c r="O2" s="7"/>
      <c r="P2" s="8"/>
      <c r="Q2" s="8"/>
      <c r="R2" s="8"/>
      <c r="S2" s="287" t="s">
        <v>272</v>
      </c>
      <c r="T2" s="287"/>
      <c r="U2" s="287"/>
      <c r="V2" s="287"/>
      <c r="W2" s="287"/>
    </row>
    <row r="3" spans="1:23" ht="48.75" customHeight="1" x14ac:dyDescent="0.25">
      <c r="A3" s="3"/>
      <c r="B3" s="342" t="s">
        <v>18</v>
      </c>
      <c r="C3" s="342"/>
      <c r="D3" s="343"/>
      <c r="E3" s="114"/>
      <c r="F3" s="114"/>
      <c r="G3" s="143"/>
      <c r="H3" s="143"/>
      <c r="I3" s="143"/>
      <c r="J3" s="143"/>
      <c r="K3" s="143"/>
      <c r="L3" s="143"/>
      <c r="M3" s="143"/>
      <c r="N3" s="344" t="s">
        <v>13</v>
      </c>
      <c r="O3" s="345"/>
      <c r="P3" s="346" t="s">
        <v>14</v>
      </c>
      <c r="Q3" s="347"/>
      <c r="R3" s="347"/>
      <c r="S3" s="347"/>
      <c r="T3" s="347"/>
      <c r="U3" s="347"/>
      <c r="V3" s="347"/>
      <c r="W3" s="348"/>
    </row>
    <row r="4" spans="1:23" ht="36" customHeight="1" x14ac:dyDescent="0.25">
      <c r="A4" s="324" t="s">
        <v>69</v>
      </c>
      <c r="B4" s="324"/>
      <c r="C4" s="329" t="s">
        <v>0</v>
      </c>
      <c r="D4" s="330"/>
      <c r="E4" s="326" t="s">
        <v>37</v>
      </c>
      <c r="F4" s="328"/>
      <c r="G4" s="333" t="s">
        <v>143</v>
      </c>
      <c r="H4" s="335" t="s">
        <v>159</v>
      </c>
      <c r="I4" s="336" t="s">
        <v>144</v>
      </c>
      <c r="J4" s="326" t="s">
        <v>145</v>
      </c>
      <c r="K4" s="328"/>
      <c r="L4" s="336" t="s">
        <v>148</v>
      </c>
      <c r="M4" s="150" t="s">
        <v>149</v>
      </c>
      <c r="N4" s="336" t="s">
        <v>1</v>
      </c>
      <c r="O4" s="324" t="s">
        <v>2</v>
      </c>
      <c r="P4" s="329" t="s">
        <v>42</v>
      </c>
      <c r="Q4" s="339"/>
      <c r="R4" s="339"/>
      <c r="S4" s="330"/>
      <c r="T4" s="326" t="s">
        <v>12</v>
      </c>
      <c r="U4" s="327"/>
      <c r="V4" s="327"/>
      <c r="W4" s="328"/>
    </row>
    <row r="5" spans="1:23" ht="121.5" customHeight="1" x14ac:dyDescent="0.25">
      <c r="A5" s="324"/>
      <c r="B5" s="324"/>
      <c r="C5" s="331"/>
      <c r="D5" s="332"/>
      <c r="E5" s="151" t="s">
        <v>141</v>
      </c>
      <c r="F5" s="151" t="s">
        <v>142</v>
      </c>
      <c r="G5" s="334"/>
      <c r="H5" s="335"/>
      <c r="I5" s="337"/>
      <c r="J5" s="77" t="s">
        <v>146</v>
      </c>
      <c r="K5" s="77" t="s">
        <v>147</v>
      </c>
      <c r="L5" s="337"/>
      <c r="M5" s="152" t="s">
        <v>6</v>
      </c>
      <c r="N5" s="338"/>
      <c r="O5" s="336"/>
      <c r="P5" s="331"/>
      <c r="Q5" s="340"/>
      <c r="R5" s="340"/>
      <c r="S5" s="332"/>
      <c r="T5" s="150" t="s">
        <v>21</v>
      </c>
      <c r="U5" s="150" t="s">
        <v>22</v>
      </c>
      <c r="V5" s="150" t="s">
        <v>86</v>
      </c>
      <c r="W5" s="150" t="s">
        <v>87</v>
      </c>
    </row>
    <row r="6" spans="1:23" ht="102.75" customHeight="1" x14ac:dyDescent="0.25">
      <c r="A6" s="280" t="s">
        <v>200</v>
      </c>
      <c r="B6" s="282"/>
      <c r="C6" s="280" t="s">
        <v>201</v>
      </c>
      <c r="D6" s="282"/>
      <c r="E6" s="108" t="s">
        <v>202</v>
      </c>
      <c r="F6" s="108" t="s">
        <v>203</v>
      </c>
      <c r="G6" s="139">
        <v>4</v>
      </c>
      <c r="H6" s="149" t="s">
        <v>204</v>
      </c>
      <c r="I6" s="139">
        <v>3</v>
      </c>
      <c r="J6" s="149" t="s">
        <v>205</v>
      </c>
      <c r="K6" s="149" t="s">
        <v>206</v>
      </c>
      <c r="L6" s="139">
        <v>2</v>
      </c>
      <c r="M6" s="102">
        <f>G6*I6*L6</f>
        <v>24</v>
      </c>
      <c r="N6" s="149" t="s">
        <v>222</v>
      </c>
      <c r="O6" s="149" t="s">
        <v>207</v>
      </c>
      <c r="P6" s="280" t="s">
        <v>208</v>
      </c>
      <c r="Q6" s="281"/>
      <c r="R6" s="281"/>
      <c r="S6" s="282"/>
      <c r="T6" s="149"/>
      <c r="U6" s="140"/>
      <c r="V6" s="139" t="s">
        <v>273</v>
      </c>
      <c r="W6" s="140"/>
    </row>
    <row r="7" spans="1:23" ht="76.5" customHeight="1" x14ac:dyDescent="0.25">
      <c r="A7" s="280" t="s">
        <v>230</v>
      </c>
      <c r="B7" s="282"/>
      <c r="C7" s="280" t="s">
        <v>227</v>
      </c>
      <c r="D7" s="282"/>
      <c r="E7" s="108" t="s">
        <v>228</v>
      </c>
      <c r="F7" s="108" t="s">
        <v>229</v>
      </c>
      <c r="G7" s="108">
        <v>4</v>
      </c>
      <c r="H7" s="149" t="s">
        <v>231</v>
      </c>
      <c r="I7" s="139">
        <v>3</v>
      </c>
      <c r="J7" s="149" t="s">
        <v>233</v>
      </c>
      <c r="K7" s="149" t="s">
        <v>232</v>
      </c>
      <c r="L7" s="139">
        <v>2</v>
      </c>
      <c r="M7" s="102">
        <v>24</v>
      </c>
      <c r="N7" s="149" t="s">
        <v>234</v>
      </c>
      <c r="O7" s="149" t="s">
        <v>235</v>
      </c>
      <c r="P7" s="280" t="s">
        <v>240</v>
      </c>
      <c r="Q7" s="281"/>
      <c r="R7" s="281"/>
      <c r="S7" s="282"/>
      <c r="T7" s="162" t="s">
        <v>97</v>
      </c>
      <c r="U7" s="155"/>
      <c r="V7" s="175">
        <v>44692</v>
      </c>
      <c r="W7" s="139" t="s">
        <v>99</v>
      </c>
    </row>
    <row r="8" spans="1:23" ht="93" customHeight="1" x14ac:dyDescent="0.25">
      <c r="A8" s="280" t="s">
        <v>200</v>
      </c>
      <c r="B8" s="282"/>
      <c r="C8" s="280" t="s">
        <v>209</v>
      </c>
      <c r="D8" s="282"/>
      <c r="E8" s="108" t="s">
        <v>211</v>
      </c>
      <c r="F8" s="108" t="s">
        <v>210</v>
      </c>
      <c r="G8" s="108">
        <v>4</v>
      </c>
      <c r="H8" s="149" t="s">
        <v>212</v>
      </c>
      <c r="I8" s="139">
        <v>2</v>
      </c>
      <c r="J8" s="149" t="s">
        <v>213</v>
      </c>
      <c r="K8" s="149" t="s">
        <v>214</v>
      </c>
      <c r="L8" s="108">
        <v>2</v>
      </c>
      <c r="M8" s="102">
        <v>16</v>
      </c>
      <c r="N8" s="149" t="s">
        <v>223</v>
      </c>
      <c r="O8" s="149" t="s">
        <v>207</v>
      </c>
      <c r="P8" s="280" t="s">
        <v>241</v>
      </c>
      <c r="Q8" s="281"/>
      <c r="R8" s="281"/>
      <c r="S8" s="282"/>
      <c r="T8" s="162" t="s">
        <v>97</v>
      </c>
      <c r="U8" s="140"/>
      <c r="V8" s="175">
        <v>44916</v>
      </c>
      <c r="W8" s="139" t="s">
        <v>99</v>
      </c>
    </row>
    <row r="9" spans="1:23" ht="32.2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166"/>
      <c r="W9" s="166"/>
    </row>
    <row r="10" spans="1:23" ht="52.5" customHeight="1" x14ac:dyDescent="0.25">
      <c r="A10" s="3"/>
      <c r="B10" s="317" t="s">
        <v>19</v>
      </c>
      <c r="C10" s="317" t="s">
        <v>38</v>
      </c>
      <c r="D10" s="317"/>
      <c r="E10" s="317" t="s">
        <v>88</v>
      </c>
      <c r="F10" s="317"/>
      <c r="G10" s="317" t="s">
        <v>13</v>
      </c>
      <c r="H10" s="317"/>
      <c r="I10" s="317"/>
      <c r="J10" s="318" t="s">
        <v>89</v>
      </c>
      <c r="K10" s="319"/>
      <c r="L10" s="320"/>
      <c r="M10" s="324" t="s">
        <v>12</v>
      </c>
      <c r="N10" s="324"/>
      <c r="O10" s="324"/>
      <c r="P10" s="324"/>
      <c r="S10" s="80"/>
      <c r="T10" s="308"/>
      <c r="U10" s="308"/>
      <c r="V10" s="308"/>
      <c r="W10" s="308"/>
    </row>
    <row r="11" spans="1:23" ht="48.75" customHeight="1" x14ac:dyDescent="0.25">
      <c r="A11" s="3"/>
      <c r="B11" s="317"/>
      <c r="C11" s="115" t="s">
        <v>141</v>
      </c>
      <c r="D11" s="115" t="s">
        <v>142</v>
      </c>
      <c r="E11" s="116" t="s">
        <v>21</v>
      </c>
      <c r="F11" s="116" t="s">
        <v>22</v>
      </c>
      <c r="G11" s="313" t="s">
        <v>1</v>
      </c>
      <c r="H11" s="314"/>
      <c r="I11" s="115" t="s">
        <v>150</v>
      </c>
      <c r="J11" s="321"/>
      <c r="K11" s="322"/>
      <c r="L11" s="323"/>
      <c r="M11" s="148" t="s">
        <v>90</v>
      </c>
      <c r="N11" s="148" t="s">
        <v>91</v>
      </c>
      <c r="O11" s="148" t="s">
        <v>92</v>
      </c>
      <c r="P11" s="148" t="s">
        <v>87</v>
      </c>
      <c r="Q11" s="80"/>
      <c r="S11" s="80"/>
      <c r="T11" s="147"/>
      <c r="U11" s="147"/>
      <c r="V11" s="147"/>
      <c r="W11" s="147"/>
    </row>
    <row r="12" spans="1:23" ht="84.75" customHeight="1" x14ac:dyDescent="0.25">
      <c r="A12" s="3"/>
      <c r="B12" s="99" t="s">
        <v>224</v>
      </c>
      <c r="C12" s="99" t="s">
        <v>188</v>
      </c>
      <c r="D12" s="145" t="s">
        <v>189</v>
      </c>
      <c r="E12" s="137" t="s">
        <v>97</v>
      </c>
      <c r="F12" s="144"/>
      <c r="G12" s="290" t="s">
        <v>195</v>
      </c>
      <c r="H12" s="291"/>
      <c r="I12" s="146" t="s">
        <v>193</v>
      </c>
      <c r="J12" s="290" t="s">
        <v>190</v>
      </c>
      <c r="K12" s="309"/>
      <c r="L12" s="291"/>
      <c r="M12" s="110"/>
      <c r="N12" s="110"/>
      <c r="O12" s="139" t="s">
        <v>273</v>
      </c>
      <c r="P12" s="110"/>
      <c r="Q12" s="80"/>
      <c r="S12" s="80"/>
      <c r="T12" s="147"/>
      <c r="U12" s="147"/>
      <c r="V12" s="147"/>
      <c r="W12" s="147"/>
    </row>
    <row r="13" spans="1:23" ht="138.75" customHeight="1" x14ac:dyDescent="0.25">
      <c r="A13" s="3"/>
      <c r="B13" s="99" t="s">
        <v>197</v>
      </c>
      <c r="C13" s="99" t="s">
        <v>198</v>
      </c>
      <c r="D13" s="145" t="s">
        <v>185</v>
      </c>
      <c r="E13" s="137" t="s">
        <v>97</v>
      </c>
      <c r="F13" s="144"/>
      <c r="G13" s="315" t="s">
        <v>226</v>
      </c>
      <c r="H13" s="316"/>
      <c r="I13" s="144" t="s">
        <v>225</v>
      </c>
      <c r="J13" s="290" t="s">
        <v>199</v>
      </c>
      <c r="K13" s="309"/>
      <c r="L13" s="291"/>
      <c r="M13" s="158" t="s">
        <v>97</v>
      </c>
      <c r="N13" s="127" t="s">
        <v>242</v>
      </c>
      <c r="O13" s="175">
        <v>44916</v>
      </c>
      <c r="P13" s="79" t="s">
        <v>99</v>
      </c>
      <c r="Q13" s="82"/>
      <c r="S13" s="82"/>
      <c r="T13" s="83"/>
      <c r="U13" s="83"/>
      <c r="V13" s="83"/>
      <c r="W13" s="83"/>
    </row>
  </sheetData>
  <mergeCells count="40">
    <mergeCell ref="B1:D1"/>
    <mergeCell ref="E1:T1"/>
    <mergeCell ref="U1:W1"/>
    <mergeCell ref="S2:W2"/>
    <mergeCell ref="B3:D3"/>
    <mergeCell ref="N3:O3"/>
    <mergeCell ref="P3:W3"/>
    <mergeCell ref="T4:W4"/>
    <mergeCell ref="A4:B5"/>
    <mergeCell ref="C4:D5"/>
    <mergeCell ref="E4:F4"/>
    <mergeCell ref="G4:G5"/>
    <mergeCell ref="H4:H5"/>
    <mergeCell ref="I4:I5"/>
    <mergeCell ref="A6:B6"/>
    <mergeCell ref="C6:D6"/>
    <mergeCell ref="P6:S6"/>
    <mergeCell ref="J4:K4"/>
    <mergeCell ref="L4:L5"/>
    <mergeCell ref="N4:N5"/>
    <mergeCell ref="O4:O5"/>
    <mergeCell ref="P4:S5"/>
    <mergeCell ref="A7:B7"/>
    <mergeCell ref="C7:D7"/>
    <mergeCell ref="P7:S7"/>
    <mergeCell ref="A8:B8"/>
    <mergeCell ref="C8:D8"/>
    <mergeCell ref="P8:S8"/>
    <mergeCell ref="B10:B11"/>
    <mergeCell ref="C10:D10"/>
    <mergeCell ref="E10:F10"/>
    <mergeCell ref="G10:I10"/>
    <mergeCell ref="J10:L11"/>
    <mergeCell ref="T10:W10"/>
    <mergeCell ref="G11:H11"/>
    <mergeCell ref="G12:H12"/>
    <mergeCell ref="J12:L12"/>
    <mergeCell ref="G13:H13"/>
    <mergeCell ref="J13:L13"/>
    <mergeCell ref="M10:P10"/>
  </mergeCells>
  <pageMargins left="0.70866141732283472" right="0.70866141732283472" top="0.74803149606299213" bottom="0.74803149606299213" header="0.31496062992125984" footer="0.31496062992125984"/>
  <pageSetup paperSize="9" scale="29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view="pageBreakPreview" topLeftCell="C4" zoomScale="60" zoomScaleNormal="73" workbookViewId="0">
      <selection activeCell="J12" sqref="J12:L12"/>
    </sheetView>
  </sheetViews>
  <sheetFormatPr baseColWidth="10" defaultRowHeight="15" x14ac:dyDescent="0.25"/>
  <cols>
    <col min="2" max="2" width="28" customWidth="1"/>
    <col min="3" max="3" width="21.28515625" customWidth="1"/>
    <col min="4" max="4" width="22.5703125" customWidth="1"/>
    <col min="5" max="5" width="21.5703125" customWidth="1"/>
    <col min="6" max="6" width="19.28515625" customWidth="1"/>
    <col min="7" max="7" width="17.85546875" customWidth="1"/>
    <col min="8" max="8" width="27.28515625" customWidth="1"/>
    <col min="9" max="9" width="19.5703125" customWidth="1"/>
    <col min="10" max="10" width="18.28515625" customWidth="1"/>
    <col min="11" max="11" width="31.7109375" customWidth="1"/>
    <col min="12" max="13" width="22.140625" customWidth="1"/>
    <col min="14" max="14" width="32.42578125" customWidth="1"/>
    <col min="15" max="15" width="20.5703125" customWidth="1"/>
    <col min="22" max="22" width="18.42578125" customWidth="1"/>
  </cols>
  <sheetData>
    <row r="1" spans="1:23" ht="78" customHeight="1" x14ac:dyDescent="0.25">
      <c r="A1" s="3"/>
      <c r="B1" s="341" t="s">
        <v>196</v>
      </c>
      <c r="C1" s="341"/>
      <c r="D1" s="341"/>
      <c r="E1" s="246" t="s">
        <v>243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8"/>
      <c r="U1" s="258" t="s">
        <v>152</v>
      </c>
      <c r="V1" s="259"/>
      <c r="W1" s="260"/>
    </row>
    <row r="2" spans="1:23" ht="29.25" customHeight="1" x14ac:dyDescent="0.25">
      <c r="A2" s="3"/>
      <c r="B2" s="136" t="s">
        <v>11</v>
      </c>
      <c r="C2" s="111"/>
      <c r="D2" s="111"/>
      <c r="E2" s="111"/>
      <c r="F2" s="111"/>
      <c r="G2" s="4"/>
      <c r="H2" s="4"/>
      <c r="I2" s="4"/>
      <c r="J2" s="4"/>
      <c r="K2" s="4"/>
      <c r="L2" s="4"/>
      <c r="M2" s="4"/>
      <c r="N2" s="6"/>
      <c r="O2" s="7"/>
      <c r="P2" s="8"/>
      <c r="Q2" s="8"/>
      <c r="R2" s="8"/>
      <c r="S2" s="287" t="s">
        <v>262</v>
      </c>
      <c r="T2" s="287"/>
      <c r="U2" s="287"/>
      <c r="V2" s="287"/>
      <c r="W2" s="287"/>
    </row>
    <row r="3" spans="1:23" ht="48.75" customHeight="1" x14ac:dyDescent="0.25">
      <c r="A3" s="3"/>
      <c r="B3" s="342" t="s">
        <v>18</v>
      </c>
      <c r="C3" s="342"/>
      <c r="D3" s="343"/>
      <c r="E3" s="114"/>
      <c r="F3" s="114"/>
      <c r="G3" s="156"/>
      <c r="H3" s="156"/>
      <c r="I3" s="156"/>
      <c r="J3" s="156"/>
      <c r="K3" s="156"/>
      <c r="L3" s="156"/>
      <c r="M3" s="156"/>
      <c r="N3" s="344" t="s">
        <v>13</v>
      </c>
      <c r="O3" s="345"/>
      <c r="P3" s="346" t="s">
        <v>14</v>
      </c>
      <c r="Q3" s="347"/>
      <c r="R3" s="347"/>
      <c r="S3" s="347"/>
      <c r="T3" s="347"/>
      <c r="U3" s="347"/>
      <c r="V3" s="347"/>
      <c r="W3" s="348"/>
    </row>
    <row r="4" spans="1:23" ht="36" customHeight="1" x14ac:dyDescent="0.25">
      <c r="A4" s="324" t="s">
        <v>69</v>
      </c>
      <c r="B4" s="324"/>
      <c r="C4" s="329" t="s">
        <v>0</v>
      </c>
      <c r="D4" s="330"/>
      <c r="E4" s="326" t="s">
        <v>37</v>
      </c>
      <c r="F4" s="328"/>
      <c r="G4" s="333" t="s">
        <v>143</v>
      </c>
      <c r="H4" s="335" t="s">
        <v>159</v>
      </c>
      <c r="I4" s="336" t="s">
        <v>144</v>
      </c>
      <c r="J4" s="326" t="s">
        <v>145</v>
      </c>
      <c r="K4" s="328"/>
      <c r="L4" s="336" t="s">
        <v>148</v>
      </c>
      <c r="M4" s="163" t="s">
        <v>149</v>
      </c>
      <c r="N4" s="336" t="s">
        <v>1</v>
      </c>
      <c r="O4" s="324" t="s">
        <v>2</v>
      </c>
      <c r="P4" s="329" t="s">
        <v>257</v>
      </c>
      <c r="Q4" s="339"/>
      <c r="R4" s="339"/>
      <c r="S4" s="330"/>
      <c r="T4" s="326" t="s">
        <v>12</v>
      </c>
      <c r="U4" s="327"/>
      <c r="V4" s="327"/>
      <c r="W4" s="328"/>
    </row>
    <row r="5" spans="1:23" ht="121.5" customHeight="1" x14ac:dyDescent="0.25">
      <c r="A5" s="324"/>
      <c r="B5" s="324"/>
      <c r="C5" s="331"/>
      <c r="D5" s="332"/>
      <c r="E5" s="164" t="s">
        <v>141</v>
      </c>
      <c r="F5" s="164" t="s">
        <v>142</v>
      </c>
      <c r="G5" s="334"/>
      <c r="H5" s="335"/>
      <c r="I5" s="337"/>
      <c r="J5" s="77" t="s">
        <v>146</v>
      </c>
      <c r="K5" s="77" t="s">
        <v>147</v>
      </c>
      <c r="L5" s="337"/>
      <c r="M5" s="165" t="s">
        <v>6</v>
      </c>
      <c r="N5" s="338"/>
      <c r="O5" s="336"/>
      <c r="P5" s="331"/>
      <c r="Q5" s="340"/>
      <c r="R5" s="340"/>
      <c r="S5" s="332"/>
      <c r="T5" s="163" t="s">
        <v>21</v>
      </c>
      <c r="U5" s="163" t="s">
        <v>22</v>
      </c>
      <c r="V5" s="170" t="s">
        <v>92</v>
      </c>
      <c r="W5" s="163" t="s">
        <v>87</v>
      </c>
    </row>
    <row r="6" spans="1:23" ht="112.5" customHeight="1" x14ac:dyDescent="0.25">
      <c r="A6" s="280" t="s">
        <v>200</v>
      </c>
      <c r="B6" s="282"/>
      <c r="C6" s="280" t="s">
        <v>201</v>
      </c>
      <c r="D6" s="282"/>
      <c r="E6" s="108" t="s">
        <v>258</v>
      </c>
      <c r="F6" s="108" t="s">
        <v>203</v>
      </c>
      <c r="G6" s="139">
        <v>4</v>
      </c>
      <c r="H6" s="169" t="s">
        <v>259</v>
      </c>
      <c r="I6" s="139">
        <v>3</v>
      </c>
      <c r="J6" s="169" t="s">
        <v>260</v>
      </c>
      <c r="K6" s="162" t="s">
        <v>206</v>
      </c>
      <c r="L6" s="139">
        <v>2</v>
      </c>
      <c r="M6" s="167">
        <f>G6*I6*L6</f>
        <v>24</v>
      </c>
      <c r="N6" s="169" t="s">
        <v>261</v>
      </c>
      <c r="O6" s="162" t="s">
        <v>207</v>
      </c>
      <c r="P6" s="280" t="s">
        <v>208</v>
      </c>
      <c r="Q6" s="281"/>
      <c r="R6" s="281"/>
      <c r="S6" s="282"/>
      <c r="T6" s="162"/>
      <c r="U6" s="140"/>
      <c r="V6" s="140"/>
      <c r="W6" s="140"/>
    </row>
    <row r="7" spans="1:23" ht="112.5" customHeight="1" x14ac:dyDescent="0.25">
      <c r="A7" s="280" t="s">
        <v>248</v>
      </c>
      <c r="B7" s="282"/>
      <c r="C7" s="280" t="s">
        <v>247</v>
      </c>
      <c r="D7" s="282"/>
      <c r="E7" s="108" t="s">
        <v>246</v>
      </c>
      <c r="F7" s="108" t="s">
        <v>203</v>
      </c>
      <c r="G7" s="139">
        <v>3</v>
      </c>
      <c r="H7" s="171" t="s">
        <v>251</v>
      </c>
      <c r="I7" s="139">
        <v>3</v>
      </c>
      <c r="J7" s="171" t="s">
        <v>252</v>
      </c>
      <c r="K7" s="171" t="s">
        <v>249</v>
      </c>
      <c r="L7" s="139">
        <v>2</v>
      </c>
      <c r="M7" s="167">
        <f>G7*I7*L7</f>
        <v>18</v>
      </c>
      <c r="N7" s="171" t="s">
        <v>250</v>
      </c>
      <c r="O7" s="171" t="s">
        <v>263</v>
      </c>
      <c r="P7" s="280" t="s">
        <v>253</v>
      </c>
      <c r="Q7" s="281"/>
      <c r="R7" s="281"/>
      <c r="S7" s="282"/>
      <c r="T7" s="171"/>
      <c r="U7" s="140"/>
      <c r="V7" s="140"/>
      <c r="W7" s="140"/>
    </row>
    <row r="8" spans="1:23" ht="102.75" customHeight="1" x14ac:dyDescent="0.25">
      <c r="A8" s="280" t="s">
        <v>264</v>
      </c>
      <c r="B8" s="282"/>
      <c r="C8" s="280" t="s">
        <v>265</v>
      </c>
      <c r="D8" s="282"/>
      <c r="E8" s="108" t="s">
        <v>266</v>
      </c>
      <c r="F8" s="108" t="s">
        <v>211</v>
      </c>
      <c r="G8" s="139">
        <v>2</v>
      </c>
      <c r="H8" s="169" t="s">
        <v>267</v>
      </c>
      <c r="I8" s="139">
        <v>4</v>
      </c>
      <c r="J8" s="108" t="s">
        <v>211</v>
      </c>
      <c r="K8" s="169" t="s">
        <v>268</v>
      </c>
      <c r="L8" s="139">
        <v>2</v>
      </c>
      <c r="M8" s="167">
        <f>G8*I8*L8</f>
        <v>16</v>
      </c>
      <c r="N8" s="169" t="s">
        <v>269</v>
      </c>
      <c r="O8" s="169" t="s">
        <v>270</v>
      </c>
      <c r="P8" s="280" t="s">
        <v>271</v>
      </c>
      <c r="Q8" s="281"/>
      <c r="R8" s="281"/>
      <c r="S8" s="282"/>
      <c r="T8" s="169"/>
      <c r="U8" s="140"/>
      <c r="V8" s="140"/>
      <c r="W8" s="140"/>
    </row>
    <row r="9" spans="1:23" ht="32.2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52.5" customHeight="1" x14ac:dyDescent="0.25">
      <c r="A10" s="3"/>
      <c r="B10" s="317" t="s">
        <v>19</v>
      </c>
      <c r="C10" s="317" t="s">
        <v>38</v>
      </c>
      <c r="D10" s="317"/>
      <c r="E10" s="317" t="s">
        <v>88</v>
      </c>
      <c r="F10" s="317"/>
      <c r="G10" s="317" t="s">
        <v>13</v>
      </c>
      <c r="H10" s="317"/>
      <c r="I10" s="317"/>
      <c r="J10" s="318" t="s">
        <v>89</v>
      </c>
      <c r="K10" s="319"/>
      <c r="L10" s="320"/>
      <c r="M10" s="324" t="s">
        <v>12</v>
      </c>
      <c r="N10" s="324"/>
      <c r="O10" s="324"/>
      <c r="P10" s="324"/>
      <c r="S10" s="80"/>
      <c r="T10" s="308"/>
      <c r="U10" s="308"/>
      <c r="V10" s="308"/>
      <c r="W10" s="308"/>
    </row>
    <row r="11" spans="1:23" ht="48.75" customHeight="1" x14ac:dyDescent="0.25">
      <c r="A11" s="3"/>
      <c r="B11" s="317"/>
      <c r="C11" s="115" t="s">
        <v>141</v>
      </c>
      <c r="D11" s="115" t="s">
        <v>142</v>
      </c>
      <c r="E11" s="116" t="s">
        <v>21</v>
      </c>
      <c r="F11" s="116" t="s">
        <v>22</v>
      </c>
      <c r="G11" s="313" t="s">
        <v>1</v>
      </c>
      <c r="H11" s="314"/>
      <c r="I11" s="115" t="s">
        <v>150</v>
      </c>
      <c r="J11" s="321"/>
      <c r="K11" s="322"/>
      <c r="L11" s="323"/>
      <c r="M11" s="161" t="s">
        <v>90</v>
      </c>
      <c r="N11" s="161" t="s">
        <v>91</v>
      </c>
      <c r="O11" s="161" t="s">
        <v>92</v>
      </c>
      <c r="P11" s="161" t="s">
        <v>87</v>
      </c>
      <c r="Q11" s="80"/>
      <c r="S11" s="80"/>
      <c r="T11" s="160"/>
      <c r="U11" s="160"/>
      <c r="V11" s="160"/>
      <c r="W11" s="160"/>
    </row>
    <row r="12" spans="1:23" ht="84.75" customHeight="1" x14ac:dyDescent="0.25">
      <c r="A12" s="3"/>
      <c r="B12" s="99" t="s">
        <v>254</v>
      </c>
      <c r="C12" s="99" t="s">
        <v>244</v>
      </c>
      <c r="D12" s="168" t="s">
        <v>255</v>
      </c>
      <c r="E12" s="137" t="s">
        <v>97</v>
      </c>
      <c r="F12" s="157"/>
      <c r="G12" s="290" t="s">
        <v>195</v>
      </c>
      <c r="H12" s="291"/>
      <c r="I12" s="159" t="s">
        <v>193</v>
      </c>
      <c r="J12" s="290" t="s">
        <v>256</v>
      </c>
      <c r="K12" s="309"/>
      <c r="L12" s="291"/>
      <c r="M12" s="110"/>
      <c r="N12" s="110"/>
      <c r="O12" s="140"/>
      <c r="P12" s="110"/>
      <c r="Q12" s="80"/>
      <c r="S12" s="80"/>
      <c r="T12" s="160"/>
      <c r="U12" s="160"/>
      <c r="V12" s="160"/>
      <c r="W12" s="160"/>
    </row>
  </sheetData>
  <mergeCells count="38">
    <mergeCell ref="A7:B7"/>
    <mergeCell ref="C7:D7"/>
    <mergeCell ref="P7:S7"/>
    <mergeCell ref="B1:D1"/>
    <mergeCell ref="E1:T1"/>
    <mergeCell ref="T4:W4"/>
    <mergeCell ref="A4:B5"/>
    <mergeCell ref="C4:D5"/>
    <mergeCell ref="E4:F4"/>
    <mergeCell ref="G4:G5"/>
    <mergeCell ref="H4:H5"/>
    <mergeCell ref="I4:I5"/>
    <mergeCell ref="A6:B6"/>
    <mergeCell ref="C6:D6"/>
    <mergeCell ref="P6:S6"/>
    <mergeCell ref="J4:K4"/>
    <mergeCell ref="U1:W1"/>
    <mergeCell ref="S2:W2"/>
    <mergeCell ref="B3:D3"/>
    <mergeCell ref="N3:O3"/>
    <mergeCell ref="P3:W3"/>
    <mergeCell ref="L4:L5"/>
    <mergeCell ref="N4:N5"/>
    <mergeCell ref="O4:O5"/>
    <mergeCell ref="P4:S5"/>
    <mergeCell ref="G12:H12"/>
    <mergeCell ref="J12:L12"/>
    <mergeCell ref="A8:B8"/>
    <mergeCell ref="C8:D8"/>
    <mergeCell ref="P8:S8"/>
    <mergeCell ref="T10:W10"/>
    <mergeCell ref="G11:H11"/>
    <mergeCell ref="M10:P10"/>
    <mergeCell ref="B10:B11"/>
    <mergeCell ref="C10:D10"/>
    <mergeCell ref="E10:F10"/>
    <mergeCell ref="G10:I10"/>
    <mergeCell ref="J10:L11"/>
  </mergeCells>
  <pageMargins left="0.70866141732283472" right="0.70866141732283472" top="0.74803149606299213" bottom="0.74803149606299213" header="0.31496062992125984" footer="0.31496062992125984"/>
  <pageSetup paperSize="9" scale="3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Fiche d'analyse de Risque 18</vt:lpstr>
      <vt:lpstr>Fiche de risque  19</vt:lpstr>
      <vt:lpstr>Fiche de risque  20 </vt:lpstr>
      <vt:lpstr>Fiche de risque  21</vt:lpstr>
      <vt:lpstr>Fiche de risque  2022</vt:lpstr>
      <vt:lpstr>Fiche de risque  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Sami BERDAOUI</cp:lastModifiedBy>
  <cp:lastPrinted>2023-04-03T13:15:44Z</cp:lastPrinted>
  <dcterms:created xsi:type="dcterms:W3CDTF">2016-03-11T07:17:14Z</dcterms:created>
  <dcterms:modified xsi:type="dcterms:W3CDTF">2023-04-04T06:38:28Z</dcterms:modified>
</cp:coreProperties>
</file>