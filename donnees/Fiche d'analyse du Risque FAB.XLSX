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erdaoui\Desktop\Resultat Qualité -Astuplast\Systéme documentaire\Fiches d'analyse de risque\"/>
    </mc:Choice>
  </mc:AlternateContent>
  <bookViews>
    <workbookView xWindow="0" yWindow="0" windowWidth="17520" windowHeight="7230" tabRatio="285" firstSheet="5" activeTab="5"/>
  </bookViews>
  <sheets>
    <sheet name="Fiche d'analyse de Risque 18" sheetId="2" r:id="rId1"/>
    <sheet name="Fiche d'analyse de risque 19" sheetId="3" r:id="rId2"/>
    <sheet name="Fiche d'analyse de Risque 20" sheetId="5" r:id="rId3"/>
    <sheet name="Fiche d'analyse de Risque 21" sheetId="6" r:id="rId4"/>
    <sheet name="Fiche d'analyse de Risque 2022" sheetId="7" r:id="rId5"/>
    <sheet name="Fiche d'analyse de Risque 23" sheetId="8" r:id="rId6"/>
  </sheets>
  <calcPr calcId="152511"/>
</workbook>
</file>

<file path=xl/calcChain.xml><?xml version="1.0" encoding="utf-8"?>
<calcChain xmlns="http://schemas.openxmlformats.org/spreadsheetml/2006/main">
  <c r="M8" i="8" l="1"/>
  <c r="M10" i="8" l="1"/>
  <c r="M7" i="8"/>
  <c r="M10" i="7"/>
  <c r="M9" i="7"/>
  <c r="M8" i="7"/>
  <c r="M7" i="7"/>
  <c r="M9" i="6"/>
  <c r="M10" i="6"/>
  <c r="M8" i="6"/>
  <c r="M7" i="6"/>
  <c r="M8" i="5"/>
  <c r="M9" i="5"/>
  <c r="M10" i="5"/>
  <c r="M7" i="5" l="1"/>
  <c r="I8" i="3"/>
  <c r="I7" i="3"/>
  <c r="I6" i="3"/>
  <c r="I13" i="2"/>
  <c r="I7" i="2"/>
  <c r="I8" i="2"/>
  <c r="I9" i="2"/>
  <c r="I10" i="2"/>
  <c r="I11" i="2"/>
  <c r="I12" i="2"/>
  <c r="I14" i="2"/>
</calcChain>
</file>

<file path=xl/sharedStrings.xml><?xml version="1.0" encoding="utf-8"?>
<sst xmlns="http://schemas.openxmlformats.org/spreadsheetml/2006/main" count="626" uniqueCount="249">
  <si>
    <t>Risques</t>
  </si>
  <si>
    <t xml:space="preserve">Bref descriptif de l'action </t>
  </si>
  <si>
    <t>Responsable</t>
  </si>
  <si>
    <t>G</t>
  </si>
  <si>
    <t>O</t>
  </si>
  <si>
    <t>D</t>
  </si>
  <si>
    <t>IPR</t>
  </si>
  <si>
    <t xml:space="preserve">Fiche d'analyse du Risque et Opportunité  Processus </t>
  </si>
  <si>
    <r>
      <t xml:space="preserve">Groupe APSYS Industries                                                                     </t>
    </r>
    <r>
      <rPr>
        <b/>
        <i/>
        <sz val="10"/>
        <rFont val="Arial"/>
        <family val="2"/>
      </rPr>
      <t xml:space="preserve">Division :  ASTUPLAST </t>
    </r>
    <r>
      <rPr>
        <b/>
        <i/>
        <sz val="11"/>
        <rFont val="Arial"/>
        <family val="2"/>
      </rPr>
      <t xml:space="preserve">        </t>
    </r>
  </si>
  <si>
    <t>S.berdaoui</t>
  </si>
  <si>
    <t xml:space="preserve"> Processus : Fabrication, Contrôle &amp; Conditionnement</t>
  </si>
  <si>
    <t>Evaluation de Risque</t>
  </si>
  <si>
    <t>Actions à mettre en œuvre (Voir détails au PAP)</t>
  </si>
  <si>
    <t>Evaluation de l'action</t>
  </si>
  <si>
    <t>EFFICACITE D'ACTION</t>
  </si>
  <si>
    <t>Prépration MP erroné</t>
  </si>
  <si>
    <t>O.Mejri et H.Ben Haj Youssef</t>
  </si>
  <si>
    <t>F.Martin</t>
  </si>
  <si>
    <t>Contrôle Non éfficace</t>
  </si>
  <si>
    <t xml:space="preserve">Erreurs de planification </t>
  </si>
  <si>
    <t xml:space="preserve">Pilotes Processus : F.Martin / Hocine ben Haj Youssef et O.Mejri </t>
  </si>
  <si>
    <t xml:space="preserve">OUI </t>
  </si>
  <si>
    <t>NON</t>
  </si>
  <si>
    <t xml:space="preserve"> Analyse des OPPORTUNITES : </t>
  </si>
  <si>
    <t>Actions à mettre en œuvre (voir détails au PAP)</t>
  </si>
  <si>
    <t>Brève description de l'action</t>
  </si>
  <si>
    <t>OUI</t>
  </si>
  <si>
    <t xml:space="preserve">H.Ben Haj Youssef et Olfa Mejri </t>
  </si>
  <si>
    <t>A mettre en place un reunion entre le deux responsable d'unité de fabrication avant affichage planning production</t>
  </si>
  <si>
    <t xml:space="preserve">Transfert du produit dans l'endroit erronée </t>
  </si>
  <si>
    <t>Absence de zone réservée au stockage PF</t>
  </si>
  <si>
    <t xml:space="preserve">Definir les zones de stockage dans le cadre d'un projet 5S </t>
  </si>
  <si>
    <t>Quantité Eronné chez le client</t>
  </si>
  <si>
    <t>Erreurs des consignes qui ne sont pas renseignés</t>
  </si>
  <si>
    <t xml:space="preserve">Moule ou outils en mauvais état, endommagé et corrodé
</t>
  </si>
  <si>
    <t>* Absence d'entretien sysématique de moules ou d'outils 
* Manque de qualification du personnel sur les opérations d'entretien</t>
  </si>
  <si>
    <t xml:space="preserve">Mettre en place un tableau de communication  qui sert pour enrigistrer les consignes </t>
  </si>
  <si>
    <t xml:space="preserve">Non Suivi réguliére </t>
  </si>
  <si>
    <t>Les consignes se fait oralement</t>
  </si>
  <si>
    <t xml:space="preserve">Absence de coordination entre les responsables de fabrication </t>
  </si>
  <si>
    <t xml:space="preserve">Perturbation Production  et Retard de livraison </t>
  </si>
  <si>
    <t xml:space="preserve">Impact de Risque </t>
  </si>
  <si>
    <t xml:space="preserve">Produire  des produits  Non Conformes </t>
  </si>
  <si>
    <t xml:space="preserve">Validation de production n'est pas  trops éfficace </t>
  </si>
  <si>
    <t xml:space="preserve">L'instruction de demarrage de production n'est pas à jour
</t>
  </si>
  <si>
    <t xml:space="preserve">Reclamation client </t>
  </si>
  <si>
    <t xml:space="preserve">Non Satisfaction client </t>
  </si>
  <si>
    <t xml:space="preserve">Erreur humaine : Pb d'utilisation la balance lors de comptage </t>
  </si>
  <si>
    <t xml:space="preserve">Derive sur la qualité de produit à fabriqué </t>
  </si>
  <si>
    <t>Mettre en place un audit  Poste pour bien maintenir  la stabilité de process</t>
  </si>
  <si>
    <t xml:space="preserve">Mettre en Place une Mode opératoire d'utilisation les Balances </t>
  </si>
  <si>
    <t xml:space="preserve">* Rénommer un Responsable qualifié sur les opérations de Maintenance des moules et outils
</t>
  </si>
  <si>
    <t xml:space="preserve">Impact des Opportunités </t>
  </si>
  <si>
    <t xml:space="preserve">Mise en place  du Projet  Kaisen </t>
  </si>
  <si>
    <t xml:space="preserve">Améliorer la productivité  et Qualité </t>
  </si>
  <si>
    <t xml:space="preserve">Taux de service :   Commande client  non Cloturer dans le bon délais </t>
  </si>
  <si>
    <t>Imprimée n° AST PRO 01.17-01 B</t>
  </si>
  <si>
    <t>Causes probables 5M - Main d'œuvre - Moyens - Milieu - Matière - Méthodes</t>
  </si>
  <si>
    <t>Activité  1: Preparation planning de production</t>
  </si>
  <si>
    <t xml:space="preserve">Origine De L'action   : </t>
  </si>
  <si>
    <t>Critéres d'Evaluation de l'éfficacité des actions</t>
  </si>
  <si>
    <t>Fiche Processus</t>
  </si>
  <si>
    <t>Reclamation N°24-2018</t>
  </si>
  <si>
    <t xml:space="preserve">Insatisfaction Client </t>
  </si>
  <si>
    <t xml:space="preserve">Process Non Stable </t>
  </si>
  <si>
    <t xml:space="preserve">Perte la confience Client </t>
  </si>
  <si>
    <t>N.Riahi</t>
  </si>
  <si>
    <t>Date de Clôture</t>
  </si>
  <si>
    <t>Visa</t>
  </si>
  <si>
    <t>Retenu</t>
  </si>
  <si>
    <t>Critères d'évaluation de l'efficacité des actions</t>
  </si>
  <si>
    <t>Oui</t>
  </si>
  <si>
    <t>Non</t>
  </si>
  <si>
    <t>X</t>
  </si>
  <si>
    <t xml:space="preserve">Revoir tous les cadences des Produit semi_finis et Finie  </t>
  </si>
  <si>
    <t xml:space="preserve">Activité  2: Préparation de MP pour la production   </t>
  </si>
  <si>
    <t>Activité  3: Montage et réglage du moule ou des outils + lancement et validation de la production</t>
  </si>
  <si>
    <t xml:space="preserve">Verification et validation la MP prépareé  pour la production avant chaque démarrage </t>
  </si>
  <si>
    <t xml:space="preserve">* Agmentation les actions Préventive //corective                                                *Pas D'arrêt  des production  systématique </t>
  </si>
  <si>
    <t>x</t>
  </si>
  <si>
    <t>SB</t>
  </si>
  <si>
    <t xml:space="preserve">* Diminution taux de  rebut en  interne   sur les series  produites                                                     </t>
  </si>
  <si>
    <t xml:space="preserve">* Stabilisation  process  de l'injection et  montage                                              </t>
  </si>
  <si>
    <t>Maj l'instruction de demarrage de production et mettre en place un reunion de coordination avec les chefs d'équipes</t>
  </si>
  <si>
    <t xml:space="preserve">* Respect  des  consignes Qualités                        </t>
  </si>
  <si>
    <t xml:space="preserve">* Bon Maitraise  et  application le MO </t>
  </si>
  <si>
    <t xml:space="preserve">* Flux de transfert produit  est  claire                * Identification Claire </t>
  </si>
  <si>
    <t xml:space="preserve">_ Accentuer la formation produit de client ACTIA </t>
  </si>
  <si>
    <t>Préssence 04 Reclamation sur  le capot  Sliding  de  debut de  l'année pour client ACTIA</t>
  </si>
  <si>
    <t xml:space="preserve">*Taux d'avancement   de reunion     *Absence de  retard sur les commandes réalisés </t>
  </si>
  <si>
    <t>*Absence des anomalies en interne   * Maitraise la préparation par  les concernés</t>
  </si>
  <si>
    <t>* Absence de  retour client (  alerte  / Reclamation,,,)</t>
  </si>
  <si>
    <t>Date de MAJ  : 06/12/2018</t>
  </si>
  <si>
    <t>Activité  3: Communication: Passage des consignes sur poste</t>
  </si>
  <si>
    <t>Activité  4: Injection et/ou assemblage des produits semi-finis ou bien produits finis</t>
  </si>
  <si>
    <t>Activité 4 : Contrôle en cours de production</t>
  </si>
  <si>
    <t>Activité 5: Conditionnement des pièces</t>
  </si>
  <si>
    <t>Activité 7: Produit fini, contrôlé et conditionné</t>
  </si>
  <si>
    <t>Activité 6: Démontage  du moule et outilles et  rangements</t>
  </si>
  <si>
    <t xml:space="preserve">Outillage est  mal  nettoyé  après l'utilisation </t>
  </si>
  <si>
    <t>Panne Outillage</t>
  </si>
  <si>
    <t>Absence d'une MO de  Netoyage à faire  chaque outillage  après  chaque utilisation</t>
  </si>
  <si>
    <t xml:space="preserve">Création un check  liste qui définie  les étapes  à faire "netoyage" après chaque utilisation d'outillage </t>
  </si>
  <si>
    <t>I.Maatallah</t>
  </si>
  <si>
    <t xml:space="preserve">* Outillage bien nettoiyé  après chaque utilisation                     </t>
  </si>
  <si>
    <t xml:space="preserve">Fiche processus  </t>
  </si>
  <si>
    <t>Reporté en 2019</t>
  </si>
  <si>
    <t xml:space="preserve">Perte la confiance Client </t>
  </si>
  <si>
    <t>Reclamation client</t>
  </si>
  <si>
    <t xml:space="preserve">_ Accentuer la formation produit de client ACTIA         * Met  en place des consignes  qui clarifier les  défauts </t>
  </si>
  <si>
    <t>Reclamation client n°13-2019</t>
  </si>
  <si>
    <t xml:space="preserve">Contrôle  d'inspection  visuel n'est pas trop  éfficace </t>
  </si>
  <si>
    <t xml:space="preserve">non maintient  l'efficacité  de  qualité  de nos produit </t>
  </si>
  <si>
    <t xml:space="preserve">_ Faire  tourner les opératrices  sur  les differents  phase de  produit   </t>
  </si>
  <si>
    <t>O.Mejri/ N.Riahi</t>
  </si>
  <si>
    <t xml:space="preserve">*Pas de réccurence </t>
  </si>
  <si>
    <t xml:space="preserve">Préssence de  mélange de deux  produits  défférents </t>
  </si>
  <si>
    <t>Reclamation Client   n°16-19</t>
  </si>
  <si>
    <t xml:space="preserve">Pb Reccurent  sur même produit </t>
  </si>
  <si>
    <t>Ajoute la taracibilité de CQ sur les fiches d'enrigistrement  pour bien garantir la détection en 1er coup</t>
  </si>
  <si>
    <t xml:space="preserve">Rebut est  duminuer  </t>
  </si>
  <si>
    <t xml:space="preserve">Perturbation  production </t>
  </si>
  <si>
    <t xml:space="preserve">* Outillage bien nettoyé  après chaque utilisation                     </t>
  </si>
  <si>
    <t>Contrôle test  fonctionel  est  insufisant</t>
  </si>
  <si>
    <t xml:space="preserve">* pas de conflis entre les équipes                               </t>
  </si>
  <si>
    <t>Date de MAJ  : 20/12/2019</t>
  </si>
  <si>
    <t xml:space="preserve">Fiche processus </t>
  </si>
  <si>
    <t>Reporté en 2020</t>
  </si>
  <si>
    <t>* Cadence sont bien validés</t>
  </si>
  <si>
    <t xml:space="preserve">Ameliorer tous les cadences des Produit semi_finis et Finie  </t>
  </si>
  <si>
    <t>Perte  satisfaction client  et  retard de laivraison</t>
  </si>
  <si>
    <t xml:space="preserve">Non maintient  l'efficacité  de  qualité  de nos produit </t>
  </si>
  <si>
    <t>Imprimée n° AST                                                     PRQ 01.17-01 C</t>
  </si>
  <si>
    <t>Date  de MAJ : 19/10/2020</t>
  </si>
  <si>
    <t xml:space="preserve">Evaluation de l'action </t>
  </si>
  <si>
    <t>Origine de L'action</t>
  </si>
  <si>
    <t>Gravité " G"</t>
  </si>
  <si>
    <t>Occurrence (Fréquence , Probabilité  d'apparition  de la défaillance )    "O"</t>
  </si>
  <si>
    <t xml:space="preserve">Actions Existantes </t>
  </si>
  <si>
    <t>Détectabilité "D"</t>
  </si>
  <si>
    <t>Evaluation du Risque</t>
  </si>
  <si>
    <t xml:space="preserve">Interne </t>
  </si>
  <si>
    <t xml:space="preserve">Externe </t>
  </si>
  <si>
    <t xml:space="preserve">Occurrence </t>
  </si>
  <si>
    <t>Détections</t>
  </si>
  <si>
    <t>Date de Clotûre</t>
  </si>
  <si>
    <t xml:space="preserve">Responsable </t>
  </si>
  <si>
    <t xml:space="preserve">Pilote Processus :F.Martin / Imed Maatallah et O.Mejri </t>
  </si>
  <si>
    <t xml:space="preserve">* Outillage bien nettoyé  après chaque utilisation  </t>
  </si>
  <si>
    <t xml:space="preserve">Perte de confiance </t>
  </si>
  <si>
    <t>Fiche processus</t>
  </si>
  <si>
    <t xml:space="preserve">pérturbation de production </t>
  </si>
  <si>
    <t>retard de livraison</t>
  </si>
  <si>
    <t>Traitement des commandes</t>
  </si>
  <si>
    <t>Manque Matière Première ou composant lors de la production ou juste avant de démarrer.</t>
  </si>
  <si>
    <t>arret de production avant de demarer ou en cours de production.</t>
  </si>
  <si>
    <t xml:space="preserve">1) S'assurer de la saisie journalière des quantités produites  2) S'assurer que les OFS soient à jour  </t>
  </si>
  <si>
    <t>Chafai/ Raja / Slah</t>
  </si>
  <si>
    <t>produit non conforme stocké au magasin (semi fini ou fini)</t>
  </si>
  <si>
    <t>manque la quantité demandée aux livraisons</t>
  </si>
  <si>
    <t xml:space="preserve">Pas de contrôle  avant le stockage </t>
  </si>
  <si>
    <t>Hanen /Sami</t>
  </si>
  <si>
    <t>1) Renseignement des quantités produites en retard dans la GPAO (CEGID)       2) Ofs non à jour  3) Commande MP non passée            4) Retard Fournisseurs</t>
  </si>
  <si>
    <t>O.Mejri /I.Maatallah</t>
  </si>
  <si>
    <t>Ajoute la taracabilité de CQ sur les fiches d'enrigistrement  pour bien garantir la détection en 1er coup</t>
  </si>
  <si>
    <t>Activité 6: Démontage  du moule et outils et  rangements</t>
  </si>
  <si>
    <t xml:space="preserve">impact sur la  commande client </t>
  </si>
  <si>
    <t xml:space="preserve">Causes probables 5M </t>
  </si>
  <si>
    <t>Absence d'une MO de  Netoyage à faire de  chaque outillage  après  chaque utilisation</t>
  </si>
  <si>
    <t>Fiche d'analyse du Risque et Opportunité  Processus                                                                                 Année:2020</t>
  </si>
  <si>
    <t>Contrôle visuel</t>
  </si>
  <si>
    <t xml:space="preserve">Presence une indication de netoyage au  niveau  de fiche d'autocontrôle " unité d'injection" </t>
  </si>
  <si>
    <t xml:space="preserve">Consigne Qualité </t>
  </si>
  <si>
    <t xml:space="preserve">Commande fournisseur </t>
  </si>
  <si>
    <t>inventaire</t>
  </si>
  <si>
    <t xml:space="preserve">Pas d'arrêt sur une longue durée  constaté  des commandes clients </t>
  </si>
  <si>
    <t xml:space="preserve">Changement la frequence de contrôle enrigistré sur les fiches d'autocontrôle pour les produits Critique </t>
  </si>
  <si>
    <t>Contrôle par échantillonnage mais pas sur la totalité produite</t>
  </si>
  <si>
    <t xml:space="preserve">Contrôle par échantillonnage </t>
  </si>
  <si>
    <t xml:space="preserve">* pas de perturbation du Productivité montage </t>
  </si>
  <si>
    <t>1) Renseignement des quantités produites en retard dans la GPAO (CEGID)       2) Ofs non à jour                           3) Commande MP non passée            4) Retard Fournisseurs</t>
  </si>
  <si>
    <t xml:space="preserve">Groupe APSYS Industries                                                                     Division :  ASTUPLAST         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</si>
  <si>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                                              Année:2021</t>
  </si>
  <si>
    <t xml:space="preserve">* pas de perturbation du Productivité montage  ==&gt; Taux de productivité atteind à l'objectif                 </t>
  </si>
  <si>
    <t>s.Berdaoui</t>
  </si>
  <si>
    <t xml:space="preserve">Nouveau Produit  " Palier Porte Noix " </t>
  </si>
  <si>
    <t xml:space="preserve">Non Respect Aux Exigences Client </t>
  </si>
  <si>
    <t xml:space="preserve">Non Satisifaction Client </t>
  </si>
  <si>
    <t xml:space="preserve">Manque d'information </t>
  </si>
  <si>
    <t>Formation</t>
  </si>
  <si>
    <t xml:space="preserve">Formation et mise en place dev Mecanisme de soudure par un formateur externe </t>
  </si>
  <si>
    <t xml:space="preserve">F.Martin &amp; I.Maatallah </t>
  </si>
  <si>
    <t xml:space="preserve">S'assurer que les OFS soient à jour  et surtout prèts  avant demarrage serie et les quantités journaliére soit saisis quotidiennenement ainsi que les rebuts  </t>
  </si>
  <si>
    <t xml:space="preserve">*Accepation Client en Premier  Coups et pas  refus de client  des productions  envoyés             </t>
  </si>
  <si>
    <t>Reporté sur 2022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</si>
  <si>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                                              Année:2022</t>
  </si>
  <si>
    <t xml:space="preserve">Non Satisfaction Client </t>
  </si>
  <si>
    <t xml:space="preserve">Reclamation Client ACS N°10-2022: Insert  non sertis sur les gaines et  sertissage insuffisant </t>
  </si>
  <si>
    <t xml:space="preserve">Perte la confiance de nos client </t>
  </si>
  <si>
    <t>Arrêt  projet</t>
  </si>
  <si>
    <t>* Methode de contrôle et  de sertissage insert   *Machine de sertissage : Probleme Accessoire</t>
  </si>
  <si>
    <t>_ Mettre  une  piéce sécuriser " sur les cartons                                _Ajoute l'opération de  vérification niveau de l'huil au niveau de l'instruction                     _Achat des piéces de  Réchanges                                               _ Achat d'une autre  Machine de sertissage "même Model "    _ Séparation l'activité de contrôle PF de SF</t>
  </si>
  <si>
    <t>O.Mejri &amp; I.Maatallah  &amp; S.Berdaoui</t>
  </si>
  <si>
    <t xml:space="preserve">Zéro défaut sur deux production séccussives    &amp; Respect du  cionsigne Qualité  " organisation poste " </t>
  </si>
  <si>
    <t>Date  de Surveillance   : 13/06/2021</t>
  </si>
  <si>
    <t>Date  de Surveillance   : 28/06/2022</t>
  </si>
  <si>
    <t>1) Renseignement des quantités produites en retard dans la GPAO (CEGID)                         2) Ofs non à jour                           3) Commande MP non passée                                   4) Retard Fournisseurs</t>
  </si>
  <si>
    <t xml:space="preserve">Gestion Effectifs </t>
  </si>
  <si>
    <t xml:space="preserve">Chômage Technique </t>
  </si>
  <si>
    <t>Salarié non motivé</t>
  </si>
  <si>
    <t xml:space="preserve">Baisse de Charge </t>
  </si>
  <si>
    <t xml:space="preserve">Réduire les heures de travailleurs </t>
  </si>
  <si>
    <t>Satisfaction salariées</t>
  </si>
  <si>
    <t xml:space="preserve">Revoir tous les cadences des Produit semi-finis et Finie  </t>
  </si>
  <si>
    <t>Critères d'Evaluation de l'efficacité des actions</t>
  </si>
  <si>
    <t>Absence d'une MO de  Nettoyage à faire de  chaque outillage  après  chaque utilisation</t>
  </si>
  <si>
    <t xml:space="preserve">Présence une indication de nettoyage au  niveau  de fiche d'autocontrôle " unité d'injection" </t>
  </si>
  <si>
    <t xml:space="preserve">Création un check  liste qui définie  les étapes  à faire "nettoyage" après chaque utilisation d'outillage </t>
  </si>
  <si>
    <t xml:space="preserve">moins de CA pour la  société </t>
  </si>
  <si>
    <t>Planning prévisionnel de production</t>
  </si>
  <si>
    <t xml:space="preserve">_ Participer les salariés à toutes les améliorations qui concernent les chantiers d'organisations internes . Réfection du bâtiment. (peinture, aménagements des locaux, …). Formation du personnel....  </t>
  </si>
  <si>
    <t xml:space="preserve">Améliorer la communication interne, la performance et fiabilité de process </t>
  </si>
  <si>
    <t xml:space="preserve">satisfaction client </t>
  </si>
  <si>
    <t xml:space="preserve">bonne transmission des information dans les deux sens verticale et horizontale </t>
  </si>
  <si>
    <t xml:space="preserve">_Bon clima social                                                                                                                                                       _Passage des informations dans les bons moments                                                            _Process plus fiable 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</si>
  <si>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                                              Année:2023</t>
  </si>
  <si>
    <t xml:space="preserve">Sur charge de production </t>
  </si>
  <si>
    <t xml:space="preserve">_stress de  d'éffectif          _perturbation de production </t>
  </si>
  <si>
    <t>main d'oeuvre</t>
  </si>
  <si>
    <t xml:space="preserve">Mise en place de projet management visuelle de performance dans l'atelier d'injection et montage </t>
  </si>
  <si>
    <t xml:space="preserve">_ Bon suivi d'avancement de production </t>
  </si>
  <si>
    <t>Reporté en 2023</t>
  </si>
  <si>
    <t>I.Maatallah       O. merji                H. najjar</t>
  </si>
  <si>
    <t>_ Reunion de coordination hebdomadaire chaque lundi matin                                               _ Amélioration de la productivité en trouvant de nouvelles méthodes de travail,</t>
  </si>
  <si>
    <t xml:space="preserve">Avancement de production  </t>
  </si>
  <si>
    <t xml:space="preserve">_Participation tous les indirects </t>
  </si>
  <si>
    <t xml:space="preserve">Formation et mise en place des Mecanisme de soudure par un formateur externe </t>
  </si>
  <si>
    <t xml:space="preserve">Pilote Processus : Imed Maatallah </t>
  </si>
  <si>
    <t>Date  de Surveillance   : 08/06/2023</t>
  </si>
  <si>
    <t>Reclamation  interne  N°07-2023 : Trace de fissure  détécter  sur la piéce  Douille</t>
  </si>
  <si>
    <t xml:space="preserve">Perte  toute  la quantité  produite et  avoir une reclamation  client </t>
  </si>
  <si>
    <t xml:space="preserve">Taux de service </t>
  </si>
  <si>
    <t xml:space="preserve">Non Respect de  délais </t>
  </si>
  <si>
    <t>Non Respect  les exigences de fin série renseignée au  niveau de  la fiche  validation process</t>
  </si>
  <si>
    <t xml:space="preserve">Maintenance preventive </t>
  </si>
  <si>
    <t>Fiche de validation  process</t>
  </si>
  <si>
    <t xml:space="preserve">Sensibilisation  les chefs d'équipes sur l'importance de purge lors de fin de serrie  et  ouvrir  une consigne qualité </t>
  </si>
  <si>
    <t>S.Berdaoui</t>
  </si>
  <si>
    <t>Pas d'anomalie constaté  sur la prochaine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</si>
</sst>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24"/>
      <name val="Arial Black"/>
      <family val="2"/>
    </font>
    <font>
      <b/>
      <sz val="10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22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Times New Roman"/>
      <family val="1"/>
    </font>
    <font>
      <i/>
      <sz val="16"/>
      <color theme="1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sz val="16"/>
      <color rgb="FFFF0000"/>
      <name val="Times New Roman"/>
      <family val="1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name val="Arial"/>
      <family val="2"/>
    </font>
    <font>
      <b/>
      <sz val="8"/>
      <color theme="1"/>
      <name val="Verdana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4"/>
      <name val="Times New Roman"/>
      <family val="1"/>
    </font>
    <font>
      <b/>
      <sz val="12"/>
      <color theme="1"/>
      <name val="Verdana"/>
      <family val="2"/>
    </font>
    <font>
      <b/>
      <sz val="14"/>
      <color theme="1"/>
      <name val="Verdana"/>
      <family val="2"/>
    </font>
    <font>
      <b/>
      <i/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i/>
      <sz val="18"/>
      <name val="Arial"/>
      <family val="2"/>
    </font>
    <font>
      <b/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name val="Times New Roman"/>
      <family val="1"/>
    </font>
    <font>
      <b/>
      <i/>
      <sz val="12"/>
      <name val="Times New Roman"/>
      <family val="1"/>
    </font>
    <font>
      <sz val="14"/>
      <color theme="1"/>
      <name val="Times New Roman"/>
      <family val="1"/>
    </font>
    <font>
      <b/>
      <i/>
      <sz val="16"/>
      <name val="Times New Roman"/>
      <family val="1"/>
    </font>
    <font>
      <b/>
      <sz val="28"/>
      <name val="Times New Roman"/>
      <family val="1"/>
    </font>
    <font>
      <b/>
      <i/>
      <sz val="18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  <font>
      <sz val="20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18"/>
      <name val="Times New Roman"/>
      <family val="1"/>
    </font>
    <font>
      <b/>
      <sz val="1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0">
    <xf numFmtId="0" fontId="0" fillId="0" borderId="0" xfId="0"/>
    <xf numFmtId="0" fontId="0" fillId="0" borderId="0" xfId="0" applyAlignment="1">
      <alignment vertical="top"/>
    </xf>
    <xf numFmtId="0" fontId="6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49" fontId="1" fillId="0" borderId="0" xfId="0" applyNumberFormat="1" applyFont="1" applyBorder="1" applyAlignment="1">
      <alignment vertical="top" textRotation="90" wrapText="1"/>
    </xf>
    <xf numFmtId="0" fontId="0" fillId="0" borderId="0" xfId="0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0" fillId="0" borderId="0" xfId="0" applyFont="1" applyAlignment="1">
      <alignment vertical="top"/>
    </xf>
    <xf numFmtId="0" fontId="9" fillId="7" borderId="1" xfId="0" applyFont="1" applyFill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/>
    </xf>
    <xf numFmtId="0" fontId="9" fillId="6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0" fillId="8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10" fillId="4" borderId="14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4" borderId="11" xfId="0" applyFont="1" applyFill="1" applyBorder="1" applyAlignment="1" applyProtection="1">
      <alignment horizontal="left" vertical="top" wrapText="1"/>
      <protection locked="0"/>
    </xf>
    <xf numFmtId="0" fontId="10" fillId="4" borderId="1" xfId="0" applyFont="1" applyFill="1" applyBorder="1" applyAlignment="1" applyProtection="1">
      <alignment horizontal="left" vertical="top" wrapText="1"/>
      <protection locked="0"/>
    </xf>
    <xf numFmtId="0" fontId="11" fillId="8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center" textRotation="90" wrapText="1"/>
    </xf>
    <xf numFmtId="0" fontId="13" fillId="3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17" fillId="3" borderId="1" xfId="0" applyFont="1" applyFill="1" applyBorder="1" applyAlignment="1">
      <alignment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top" wrapText="1"/>
    </xf>
    <xf numFmtId="0" fontId="20" fillId="4" borderId="11" xfId="0" applyFont="1" applyFill="1" applyBorder="1" applyAlignment="1" applyProtection="1">
      <alignment horizontal="left" vertical="top" wrapText="1"/>
      <protection locked="0"/>
    </xf>
    <xf numFmtId="0" fontId="0" fillId="4" borderId="1" xfId="0" applyFont="1" applyFill="1" applyBorder="1" applyAlignment="1">
      <alignment vertical="top"/>
    </xf>
    <xf numFmtId="0" fontId="21" fillId="4" borderId="11" xfId="0" applyFont="1" applyFill="1" applyBorder="1" applyAlignment="1" applyProtection="1">
      <alignment horizontal="left" vertical="top" wrapText="1"/>
      <protection locked="0"/>
    </xf>
    <xf numFmtId="14" fontId="7" fillId="4" borderId="1" xfId="0" applyNumberFormat="1" applyFont="1" applyFill="1" applyBorder="1" applyAlignment="1">
      <alignment vertical="top" wrapText="1"/>
    </xf>
    <xf numFmtId="0" fontId="22" fillId="0" borderId="1" xfId="0" applyFont="1" applyBorder="1" applyAlignment="1">
      <alignment horizontal="center" vertical="top"/>
    </xf>
    <xf numFmtId="0" fontId="22" fillId="4" borderId="1" xfId="0" applyFont="1" applyFill="1" applyBorder="1" applyAlignment="1">
      <alignment horizontal="center" vertical="top"/>
    </xf>
    <xf numFmtId="0" fontId="10" fillId="4" borderId="7" xfId="0" applyFont="1" applyFill="1" applyBorder="1" applyAlignment="1" applyProtection="1">
      <alignment horizontal="left" vertical="top" wrapText="1"/>
      <protection locked="0"/>
    </xf>
    <xf numFmtId="0" fontId="13" fillId="3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vertical="top"/>
    </xf>
    <xf numFmtId="0" fontId="0" fillId="6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center" textRotation="90" wrapText="1"/>
    </xf>
    <xf numFmtId="0" fontId="11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11" fillId="0" borderId="14" xfId="0" applyFont="1" applyBorder="1" applyAlignment="1">
      <alignment horizontal="center" vertical="center" textRotation="90" wrapText="1"/>
    </xf>
    <xf numFmtId="0" fontId="15" fillId="4" borderId="1" xfId="0" applyFont="1" applyFill="1" applyBorder="1" applyAlignment="1">
      <alignment vertical="top" wrapText="1"/>
    </xf>
    <xf numFmtId="0" fontId="16" fillId="3" borderId="3" xfId="0" applyFont="1" applyFill="1" applyBorder="1" applyAlignment="1">
      <alignment horizontal="center" vertical="top" wrapText="1"/>
    </xf>
    <xf numFmtId="0" fontId="6" fillId="0" borderId="6" xfId="0" applyFont="1" applyBorder="1" applyAlignment="1">
      <alignment vertical="top"/>
    </xf>
    <xf numFmtId="0" fontId="26" fillId="4" borderId="0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15" fillId="4" borderId="0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15" fillId="4" borderId="0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17" fontId="18" fillId="0" borderId="1" xfId="0" applyNumberFormat="1" applyFont="1" applyBorder="1" applyAlignment="1">
      <alignment horizontal="center" vertical="top" wrapText="1"/>
    </xf>
    <xf numFmtId="0" fontId="18" fillId="4" borderId="1" xfId="0" applyFont="1" applyFill="1" applyBorder="1" applyAlignment="1">
      <alignment vertical="top" wrapText="1"/>
    </xf>
    <xf numFmtId="0" fontId="18" fillId="4" borderId="0" xfId="0" applyFont="1" applyFill="1" applyBorder="1" applyAlignment="1">
      <alignment vertical="top" wrapText="1"/>
    </xf>
    <xf numFmtId="0" fontId="17" fillId="4" borderId="0" xfId="0" applyFont="1" applyFill="1" applyBorder="1" applyAlignment="1">
      <alignment vertical="top" wrapText="1"/>
    </xf>
    <xf numFmtId="0" fontId="26" fillId="4" borderId="10" xfId="0" applyFont="1" applyFill="1" applyBorder="1" applyAlignment="1">
      <alignment vertical="top"/>
    </xf>
    <xf numFmtId="0" fontId="28" fillId="4" borderId="1" xfId="0" applyFont="1" applyFill="1" applyBorder="1" applyAlignment="1">
      <alignment vertical="top" wrapText="1"/>
    </xf>
    <xf numFmtId="14" fontId="5" fillId="4" borderId="2" xfId="0" applyNumberFormat="1" applyFont="1" applyFill="1" applyBorder="1" applyAlignment="1">
      <alignment horizontal="center" vertical="top" wrapText="1"/>
    </xf>
    <xf numFmtId="0" fontId="15" fillId="4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textRotation="90" wrapText="1"/>
    </xf>
    <xf numFmtId="0" fontId="16" fillId="3" borderId="3" xfId="0" applyFont="1" applyFill="1" applyBorder="1" applyAlignment="1">
      <alignment horizontal="center" vertical="top" wrapText="1"/>
    </xf>
    <xf numFmtId="0" fontId="15" fillId="4" borderId="0" xfId="0" applyFont="1" applyFill="1" applyBorder="1" applyAlignment="1">
      <alignment horizontal="center" vertical="top" wrapText="1"/>
    </xf>
    <xf numFmtId="0" fontId="27" fillId="7" borderId="2" xfId="0" applyFont="1" applyFill="1" applyBorder="1" applyAlignment="1">
      <alignment horizontal="center" vertical="top" wrapText="1"/>
    </xf>
    <xf numFmtId="0" fontId="28" fillId="4" borderId="2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vertical="top" wrapText="1"/>
    </xf>
    <xf numFmtId="0" fontId="28" fillId="4" borderId="1" xfId="0" applyFont="1" applyFill="1" applyBorder="1" applyAlignment="1">
      <alignment horizontal="left" vertical="top" wrapText="1"/>
    </xf>
    <xf numFmtId="0" fontId="28" fillId="4" borderId="2" xfId="0" applyFont="1" applyFill="1" applyBorder="1" applyAlignment="1">
      <alignment horizontal="center" vertical="top" wrapText="1"/>
    </xf>
    <xf numFmtId="0" fontId="23" fillId="0" borderId="8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27" fillId="5" borderId="1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top" wrapText="1"/>
    </xf>
    <xf numFmtId="0" fontId="31" fillId="4" borderId="2" xfId="0" applyFont="1" applyFill="1" applyBorder="1" applyAlignment="1">
      <alignment horizontal="center" vertical="top" wrapText="1"/>
    </xf>
    <xf numFmtId="0" fontId="19" fillId="0" borderId="8" xfId="0" applyFont="1" applyBorder="1" applyAlignment="1">
      <alignment horizontal="center" vertical="top" wrapText="1"/>
    </xf>
    <xf numFmtId="0" fontId="33" fillId="4" borderId="10" xfId="0" applyFont="1" applyFill="1" applyBorder="1" applyAlignment="1">
      <alignment vertical="top"/>
    </xf>
    <xf numFmtId="0" fontId="33" fillId="4" borderId="0" xfId="0" applyFont="1" applyFill="1" applyBorder="1" applyAlignment="1">
      <alignment horizontal="left" vertical="top"/>
    </xf>
    <xf numFmtId="0" fontId="34" fillId="0" borderId="6" xfId="0" applyFont="1" applyBorder="1" applyAlignment="1">
      <alignment vertical="top"/>
    </xf>
    <xf numFmtId="0" fontId="35" fillId="0" borderId="1" xfId="0" applyFont="1" applyBorder="1" applyAlignment="1">
      <alignment vertical="top" wrapText="1"/>
    </xf>
    <xf numFmtId="0" fontId="35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35" fillId="0" borderId="1" xfId="0" applyFont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top" wrapText="1"/>
    </xf>
    <xf numFmtId="0" fontId="37" fillId="3" borderId="1" xfId="0" applyFont="1" applyFill="1" applyBorder="1" applyAlignment="1">
      <alignment horizontal="center" vertical="top" wrapText="1"/>
    </xf>
    <xf numFmtId="0" fontId="38" fillId="3" borderId="1" xfId="0" applyFont="1" applyFill="1" applyBorder="1" applyAlignment="1">
      <alignment vertical="top" wrapText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center" textRotation="90" wrapText="1"/>
    </xf>
    <xf numFmtId="14" fontId="5" fillId="4" borderId="1" xfId="0" applyNumberFormat="1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center" vertical="top" wrapText="1"/>
    </xf>
    <xf numFmtId="0" fontId="15" fillId="4" borderId="0" xfId="0" applyFont="1" applyFill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top" wrapText="1"/>
    </xf>
    <xf numFmtId="0" fontId="37" fillId="3" borderId="1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5" fillId="4" borderId="0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 vertical="top" wrapText="1"/>
    </xf>
    <xf numFmtId="14" fontId="28" fillId="4" borderId="1" xfId="0" applyNumberFormat="1" applyFont="1" applyFill="1" applyBorder="1" applyAlignment="1">
      <alignment horizontal="center" vertical="top" wrapText="1"/>
    </xf>
    <xf numFmtId="0" fontId="37" fillId="4" borderId="1" xfId="0" applyFont="1" applyFill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top" wrapText="1"/>
    </xf>
    <xf numFmtId="0" fontId="44" fillId="4" borderId="1" xfId="0" applyFont="1" applyFill="1" applyBorder="1" applyAlignment="1">
      <alignment horizontal="center" vertical="top" wrapText="1"/>
    </xf>
    <xf numFmtId="0" fontId="35" fillId="4" borderId="1" xfId="0" applyFont="1" applyFill="1" applyBorder="1" applyAlignment="1">
      <alignment horizontal="center" vertical="top" wrapText="1"/>
    </xf>
    <xf numFmtId="0" fontId="48" fillId="4" borderId="1" xfId="0" applyFont="1" applyFill="1" applyBorder="1" applyAlignment="1">
      <alignment horizontal="center" vertical="top" wrapText="1"/>
    </xf>
    <xf numFmtId="0" fontId="37" fillId="3" borderId="2" xfId="0" applyFont="1" applyFill="1" applyBorder="1" applyAlignment="1">
      <alignment horizontal="center" vertical="top" wrapText="1"/>
    </xf>
    <xf numFmtId="0" fontId="37" fillId="3" borderId="3" xfId="0" applyFont="1" applyFill="1" applyBorder="1" applyAlignment="1">
      <alignment horizontal="center" vertical="top" wrapText="1"/>
    </xf>
    <xf numFmtId="0" fontId="37" fillId="3" borderId="3" xfId="0" applyFont="1" applyFill="1" applyBorder="1" applyAlignment="1">
      <alignment horizontal="center" vertical="center" wrapText="1"/>
    </xf>
    <xf numFmtId="0" fontId="37" fillId="3" borderId="14" xfId="0" applyFont="1" applyFill="1" applyBorder="1" applyAlignment="1">
      <alignment horizontal="center" vertical="top" wrapText="1"/>
    </xf>
    <xf numFmtId="0" fontId="49" fillId="4" borderId="1" xfId="0" applyFont="1" applyFill="1" applyBorder="1" applyAlignment="1">
      <alignment vertical="top" wrapText="1"/>
    </xf>
    <xf numFmtId="0" fontId="48" fillId="0" borderId="1" xfId="0" applyFont="1" applyBorder="1" applyAlignment="1">
      <alignment horizontal="left" vertical="top" wrapText="1"/>
    </xf>
    <xf numFmtId="0" fontId="49" fillId="4" borderId="1" xfId="0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left" vertical="top" wrapText="1"/>
    </xf>
    <xf numFmtId="0" fontId="48" fillId="0" borderId="1" xfId="0" applyFont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left" vertical="top" wrapText="1"/>
    </xf>
    <xf numFmtId="0" fontId="51" fillId="3" borderId="1" xfId="0" applyFont="1" applyFill="1" applyBorder="1" applyAlignment="1">
      <alignment vertical="top" wrapText="1"/>
    </xf>
    <xf numFmtId="0" fontId="51" fillId="3" borderId="3" xfId="0" applyFont="1" applyFill="1" applyBorder="1" applyAlignment="1">
      <alignment horizontal="center" vertical="top" wrapText="1"/>
    </xf>
    <xf numFmtId="0" fontId="53" fillId="3" borderId="1" xfId="0" applyFont="1" applyFill="1" applyBorder="1" applyAlignment="1">
      <alignment vertical="top" wrapText="1"/>
    </xf>
    <xf numFmtId="0" fontId="52" fillId="3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48" fillId="0" borderId="9" xfId="0" applyFont="1" applyBorder="1" applyAlignment="1">
      <alignment horizontal="center" vertical="top" wrapText="1"/>
    </xf>
    <xf numFmtId="0" fontId="49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left" vertical="top" wrapText="1"/>
    </xf>
    <xf numFmtId="0" fontId="50" fillId="0" borderId="1" xfId="0" applyFont="1" applyBorder="1" applyAlignment="1">
      <alignment vertical="top" wrapText="1"/>
    </xf>
    <xf numFmtId="0" fontId="50" fillId="4" borderId="1" xfId="0" applyFont="1" applyFill="1" applyBorder="1" applyAlignment="1">
      <alignment horizontal="center" vertical="top" wrapText="1"/>
    </xf>
    <xf numFmtId="14" fontId="28" fillId="4" borderId="2" xfId="0" applyNumberFormat="1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49" fillId="4" borderId="1" xfId="0" applyFont="1" applyFill="1" applyBorder="1" applyAlignment="1">
      <alignment horizontal="left" vertical="top" wrapText="1"/>
    </xf>
    <xf numFmtId="0" fontId="48" fillId="0" borderId="1" xfId="0" applyFont="1" applyBorder="1" applyAlignment="1">
      <alignment horizontal="left" vertical="top" wrapText="1"/>
    </xf>
    <xf numFmtId="0" fontId="15" fillId="3" borderId="8" xfId="0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top" wrapText="1"/>
    </xf>
    <xf numFmtId="0" fontId="17" fillId="3" borderId="4" xfId="0" applyFont="1" applyFill="1" applyBorder="1" applyAlignment="1">
      <alignment horizontal="center" vertical="top" wrapText="1"/>
    </xf>
    <xf numFmtId="17" fontId="18" fillId="0" borderId="8" xfId="0" applyNumberFormat="1" applyFont="1" applyBorder="1" applyAlignment="1">
      <alignment horizontal="center" vertical="top" wrapText="1"/>
    </xf>
    <xf numFmtId="17" fontId="18" fillId="0" borderId="4" xfId="0" applyNumberFormat="1" applyFont="1" applyBorder="1" applyAlignment="1">
      <alignment horizontal="center" vertical="top" wrapText="1"/>
    </xf>
    <xf numFmtId="17" fontId="18" fillId="0" borderId="9" xfId="0" applyNumberFormat="1" applyFont="1" applyBorder="1" applyAlignment="1">
      <alignment horizontal="center" vertical="top" wrapText="1"/>
    </xf>
    <xf numFmtId="0" fontId="18" fillId="4" borderId="8" xfId="0" applyFont="1" applyFill="1" applyBorder="1" applyAlignment="1">
      <alignment horizontal="left" vertical="top" wrapText="1"/>
    </xf>
    <xf numFmtId="0" fontId="18" fillId="4" borderId="4" xfId="0" applyFont="1" applyFill="1" applyBorder="1" applyAlignment="1">
      <alignment horizontal="left" vertical="top" wrapText="1"/>
    </xf>
    <xf numFmtId="0" fontId="18" fillId="4" borderId="9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center" vertical="top" wrapText="1"/>
    </xf>
    <xf numFmtId="0" fontId="16" fillId="3" borderId="5" xfId="0" applyFont="1" applyFill="1" applyBorder="1" applyAlignment="1">
      <alignment horizontal="center" vertical="top" wrapText="1"/>
    </xf>
    <xf numFmtId="0" fontId="16" fillId="3" borderId="7" xfId="0" applyFont="1" applyFill="1" applyBorder="1" applyAlignment="1">
      <alignment horizontal="center" vertical="top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top" wrapText="1"/>
    </xf>
    <xf numFmtId="0" fontId="15" fillId="3" borderId="6" xfId="0" applyFont="1" applyFill="1" applyBorder="1" applyAlignment="1">
      <alignment horizontal="center" vertical="top" wrapText="1"/>
    </xf>
    <xf numFmtId="0" fontId="15" fillId="3" borderId="7" xfId="0" applyFont="1" applyFill="1" applyBorder="1" applyAlignment="1">
      <alignment horizontal="center" vertical="top" wrapText="1"/>
    </xf>
    <xf numFmtId="0" fontId="15" fillId="3" borderId="12" xfId="0" applyFont="1" applyFill="1" applyBorder="1" applyAlignment="1">
      <alignment horizontal="center" vertical="top" wrapText="1"/>
    </xf>
    <xf numFmtId="0" fontId="15" fillId="3" borderId="10" xfId="0" applyFont="1" applyFill="1" applyBorder="1" applyAlignment="1">
      <alignment horizontal="center" vertical="top" wrapText="1"/>
    </xf>
    <xf numFmtId="0" fontId="15" fillId="3" borderId="13" xfId="0" applyFont="1" applyFill="1" applyBorder="1" applyAlignment="1">
      <alignment horizontal="center" vertical="top" wrapText="1"/>
    </xf>
    <xf numFmtId="0" fontId="19" fillId="0" borderId="8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23" fillId="0" borderId="8" xfId="0" applyFont="1" applyBorder="1" applyAlignment="1">
      <alignment horizontal="center" vertical="top"/>
    </xf>
    <xf numFmtId="0" fontId="23" fillId="0" borderId="4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14" fontId="0" fillId="0" borderId="8" xfId="0" applyNumberFormat="1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0" fillId="0" borderId="9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14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19" fillId="0" borderId="4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3" fillId="3" borderId="5" xfId="0" applyFont="1" applyFill="1" applyBorder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8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13" fillId="3" borderId="9" xfId="0" applyFont="1" applyFill="1" applyBorder="1" applyAlignment="1">
      <alignment horizontal="center" vertical="top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13" fillId="3" borderId="12" xfId="0" applyFont="1" applyFill="1" applyBorder="1" applyAlignment="1">
      <alignment horizontal="center" vertical="top" wrapText="1"/>
    </xf>
    <xf numFmtId="0" fontId="13" fillId="3" borderId="13" xfId="0" applyFont="1" applyFill="1" applyBorder="1" applyAlignment="1">
      <alignment horizontal="center" vertical="top" wrapText="1"/>
    </xf>
    <xf numFmtId="14" fontId="24" fillId="4" borderId="8" xfId="0" applyNumberFormat="1" applyFont="1" applyFill="1" applyBorder="1" applyAlignment="1">
      <alignment horizontal="center" vertical="top"/>
    </xf>
    <xf numFmtId="0" fontId="24" fillId="4" borderId="4" xfId="0" applyFont="1" applyFill="1" applyBorder="1" applyAlignment="1">
      <alignment horizontal="center" vertical="top"/>
    </xf>
    <xf numFmtId="0" fontId="24" fillId="4" borderId="9" xfId="0" applyFont="1" applyFill="1" applyBorder="1" applyAlignment="1">
      <alignment horizontal="center" vertical="top"/>
    </xf>
    <xf numFmtId="14" fontId="24" fillId="0" borderId="8" xfId="0" applyNumberFormat="1" applyFont="1" applyBorder="1" applyAlignment="1">
      <alignment horizontal="center" vertical="top"/>
    </xf>
    <xf numFmtId="0" fontId="24" fillId="0" borderId="4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/>
    </xf>
    <xf numFmtId="0" fontId="25" fillId="2" borderId="8" xfId="0" applyFont="1" applyFill="1" applyBorder="1" applyAlignment="1">
      <alignment horizontal="center" vertical="top" wrapText="1"/>
    </xf>
    <xf numFmtId="0" fontId="25" fillId="2" borderId="4" xfId="0" applyFont="1" applyFill="1" applyBorder="1" applyAlignment="1">
      <alignment horizontal="center" vertical="top" wrapText="1"/>
    </xf>
    <xf numFmtId="0" fontId="25" fillId="2" borderId="9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6" fillId="3" borderId="8" xfId="0" applyFont="1" applyFill="1" applyBorder="1" applyAlignment="1">
      <alignment horizontal="center" vertical="top" wrapText="1"/>
    </xf>
    <xf numFmtId="0" fontId="26" fillId="3" borderId="9" xfId="0" applyFont="1" applyFill="1" applyBorder="1" applyAlignment="1">
      <alignment horizontal="center" vertical="top" wrapText="1"/>
    </xf>
    <xf numFmtId="0" fontId="26" fillId="3" borderId="8" xfId="0" applyFont="1" applyFill="1" applyBorder="1" applyAlignment="1">
      <alignment horizontal="center" vertical="top"/>
    </xf>
    <xf numFmtId="0" fontId="26" fillId="3" borderId="4" xfId="0" applyFont="1" applyFill="1" applyBorder="1" applyAlignment="1">
      <alignment horizontal="center" vertical="top"/>
    </xf>
    <xf numFmtId="0" fontId="26" fillId="3" borderId="9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13" xfId="0" applyFont="1" applyFill="1" applyBorder="1" applyAlignment="1">
      <alignment horizontal="center" vertical="top" wrapText="1"/>
    </xf>
    <xf numFmtId="0" fontId="1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28" fillId="4" borderId="8" xfId="0" applyFont="1" applyFill="1" applyBorder="1" applyAlignment="1">
      <alignment horizontal="left" vertical="top" wrapText="1"/>
    </xf>
    <xf numFmtId="0" fontId="28" fillId="4" borderId="4" xfId="0" applyFont="1" applyFill="1" applyBorder="1" applyAlignment="1">
      <alignment horizontal="left" vertical="top" wrapText="1"/>
    </xf>
    <xf numFmtId="0" fontId="28" fillId="4" borderId="9" xfId="0" applyFont="1" applyFill="1" applyBorder="1" applyAlignment="1">
      <alignment horizontal="left" vertical="top" wrapText="1"/>
    </xf>
    <xf numFmtId="0" fontId="23" fillId="0" borderId="8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 textRotation="90" wrapText="1"/>
    </xf>
    <xf numFmtId="0" fontId="29" fillId="0" borderId="8" xfId="0" applyFont="1" applyBorder="1" applyAlignment="1">
      <alignment horizontal="center" vertical="center" textRotation="90" wrapText="1"/>
    </xf>
    <xf numFmtId="0" fontId="29" fillId="0" borderId="9" xfId="0" applyFont="1" applyBorder="1" applyAlignment="1">
      <alignment horizontal="center" vertical="center" textRotation="90" wrapText="1"/>
    </xf>
    <xf numFmtId="0" fontId="15" fillId="4" borderId="0" xfId="0" applyFont="1" applyFill="1" applyBorder="1" applyAlignment="1">
      <alignment horizontal="center" vertical="top" wrapText="1"/>
    </xf>
    <xf numFmtId="0" fontId="16" fillId="3" borderId="8" xfId="0" applyFont="1" applyFill="1" applyBorder="1" applyAlignment="1">
      <alignment horizontal="center" vertical="top" wrapText="1"/>
    </xf>
    <xf numFmtId="0" fontId="16" fillId="3" borderId="9" xfId="0" applyFont="1" applyFill="1" applyBorder="1" applyAlignment="1">
      <alignment horizontal="center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6" fillId="3" borderId="6" xfId="0" applyFont="1" applyFill="1" applyBorder="1" applyAlignment="1">
      <alignment horizontal="center" vertical="top" wrapText="1"/>
    </xf>
    <xf numFmtId="0" fontId="16" fillId="3" borderId="12" xfId="0" applyFont="1" applyFill="1" applyBorder="1" applyAlignment="1">
      <alignment horizontal="center" vertical="top" wrapText="1"/>
    </xf>
    <xf numFmtId="0" fontId="16" fillId="3" borderId="10" xfId="0" applyFont="1" applyFill="1" applyBorder="1" applyAlignment="1">
      <alignment horizontal="center" vertical="top" wrapText="1"/>
    </xf>
    <xf numFmtId="0" fontId="16" fillId="3" borderId="1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40" fillId="0" borderId="8" xfId="0" applyFont="1" applyBorder="1" applyAlignment="1">
      <alignment horizontal="center" vertical="center" textRotation="90" wrapText="1"/>
    </xf>
    <xf numFmtId="0" fontId="40" fillId="0" borderId="9" xfId="0" applyFont="1" applyBorder="1" applyAlignment="1">
      <alignment horizontal="center" vertical="center" textRotation="90" wrapText="1"/>
    </xf>
    <xf numFmtId="0" fontId="35" fillId="0" borderId="8" xfId="0" applyFont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top" wrapText="1"/>
    </xf>
    <xf numFmtId="0" fontId="10" fillId="4" borderId="8" xfId="0" applyFont="1" applyFill="1" applyBorder="1" applyAlignment="1">
      <alignment horizontal="left" vertical="top" wrapText="1"/>
    </xf>
    <xf numFmtId="0" fontId="10" fillId="4" borderId="4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 wrapText="1"/>
    </xf>
    <xf numFmtId="0" fontId="36" fillId="3" borderId="1" xfId="0" applyFont="1" applyFill="1" applyBorder="1" applyAlignment="1">
      <alignment horizontal="center" vertical="top" wrapText="1"/>
    </xf>
    <xf numFmtId="0" fontId="37" fillId="3" borderId="1" xfId="0" applyFont="1" applyFill="1" applyBorder="1" applyAlignment="1">
      <alignment horizontal="center" vertical="top" wrapText="1"/>
    </xf>
    <xf numFmtId="0" fontId="36" fillId="3" borderId="8" xfId="0" applyFont="1" applyFill="1" applyBorder="1" applyAlignment="1">
      <alignment horizontal="center" vertical="top" wrapText="1"/>
    </xf>
    <xf numFmtId="0" fontId="36" fillId="3" borderId="9" xfId="0" applyFont="1" applyFill="1" applyBorder="1" applyAlignment="1">
      <alignment horizontal="center" vertical="top" wrapText="1"/>
    </xf>
    <xf numFmtId="0" fontId="35" fillId="0" borderId="8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35" fillId="0" borderId="9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center" vertical="top" wrapText="1"/>
    </xf>
    <xf numFmtId="0" fontId="30" fillId="3" borderId="8" xfId="0" applyFont="1" applyFill="1" applyBorder="1" applyAlignment="1">
      <alignment horizontal="center" vertical="top" wrapText="1"/>
    </xf>
    <xf numFmtId="0" fontId="30" fillId="3" borderId="9" xfId="0" applyFont="1" applyFill="1" applyBorder="1" applyAlignment="1">
      <alignment horizontal="center" vertical="top" wrapText="1"/>
    </xf>
    <xf numFmtId="0" fontId="32" fillId="3" borderId="8" xfId="0" applyFont="1" applyFill="1" applyBorder="1" applyAlignment="1">
      <alignment horizontal="center" vertical="top"/>
    </xf>
    <xf numFmtId="0" fontId="32" fillId="3" borderId="4" xfId="0" applyFont="1" applyFill="1" applyBorder="1" applyAlignment="1">
      <alignment horizontal="center" vertical="top"/>
    </xf>
    <xf numFmtId="0" fontId="32" fillId="3" borderId="9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 wrapText="1"/>
    </xf>
    <xf numFmtId="0" fontId="39" fillId="2" borderId="1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center" textRotation="90" wrapText="1"/>
    </xf>
    <xf numFmtId="0" fontId="38" fillId="0" borderId="8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top" wrapText="1"/>
    </xf>
    <xf numFmtId="0" fontId="42" fillId="2" borderId="8" xfId="0" applyFont="1" applyFill="1" applyBorder="1" applyAlignment="1">
      <alignment horizontal="center" vertical="top" wrapText="1"/>
    </xf>
    <xf numFmtId="0" fontId="42" fillId="2" borderId="4" xfId="0" applyFont="1" applyFill="1" applyBorder="1" applyAlignment="1">
      <alignment horizontal="center" vertical="top" wrapText="1"/>
    </xf>
    <xf numFmtId="0" fontId="42" fillId="2" borderId="9" xfId="0" applyFont="1" applyFill="1" applyBorder="1" applyAlignment="1">
      <alignment horizontal="center" vertical="top" wrapText="1"/>
    </xf>
    <xf numFmtId="0" fontId="45" fillId="2" borderId="1" xfId="0" applyFont="1" applyFill="1" applyBorder="1" applyAlignment="1">
      <alignment horizontal="center" vertical="top" wrapText="1"/>
    </xf>
    <xf numFmtId="0" fontId="46" fillId="2" borderId="8" xfId="0" applyFont="1" applyFill="1" applyBorder="1" applyAlignment="1">
      <alignment horizontal="center" vertical="top" wrapText="1"/>
    </xf>
    <xf numFmtId="0" fontId="46" fillId="2" borderId="4" xfId="0" applyFont="1" applyFill="1" applyBorder="1" applyAlignment="1">
      <alignment horizontal="center" vertical="top" wrapText="1"/>
    </xf>
    <xf numFmtId="0" fontId="46" fillId="2" borderId="9" xfId="0" applyFont="1" applyFill="1" applyBorder="1" applyAlignment="1">
      <alignment horizontal="center" vertical="top" wrapText="1"/>
    </xf>
    <xf numFmtId="0" fontId="47" fillId="2" borderId="8" xfId="0" applyFont="1" applyFill="1" applyBorder="1" applyAlignment="1">
      <alignment horizontal="center" vertical="top" wrapText="1"/>
    </xf>
    <xf numFmtId="0" fontId="47" fillId="2" borderId="4" xfId="0" applyFont="1" applyFill="1" applyBorder="1" applyAlignment="1">
      <alignment horizontal="center" vertical="top" wrapText="1"/>
    </xf>
    <xf numFmtId="0" fontId="47" fillId="2" borderId="9" xfId="0" applyFont="1" applyFill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38" fillId="3" borderId="8" xfId="0" applyFont="1" applyFill="1" applyBorder="1" applyAlignment="1">
      <alignment horizontal="center" vertical="top" wrapText="1"/>
    </xf>
    <xf numFmtId="0" fontId="38" fillId="3" borderId="9" xfId="0" applyFont="1" applyFill="1" applyBorder="1" applyAlignment="1">
      <alignment horizontal="center" vertical="top" wrapText="1"/>
    </xf>
    <xf numFmtId="0" fontId="38" fillId="3" borderId="8" xfId="0" applyFont="1" applyFill="1" applyBorder="1" applyAlignment="1">
      <alignment horizontal="center" vertical="top"/>
    </xf>
    <xf numFmtId="0" fontId="38" fillId="3" borderId="4" xfId="0" applyFont="1" applyFill="1" applyBorder="1" applyAlignment="1">
      <alignment horizontal="center" vertical="top"/>
    </xf>
    <xf numFmtId="0" fontId="38" fillId="3" borderId="9" xfId="0" applyFont="1" applyFill="1" applyBorder="1" applyAlignment="1">
      <alignment horizontal="center" vertical="top"/>
    </xf>
    <xf numFmtId="0" fontId="37" fillId="3" borderId="8" xfId="0" applyFont="1" applyFill="1" applyBorder="1" applyAlignment="1">
      <alignment horizontal="center" vertical="top" wrapText="1"/>
    </xf>
    <xf numFmtId="0" fontId="37" fillId="3" borderId="4" xfId="0" applyFont="1" applyFill="1" applyBorder="1" applyAlignment="1">
      <alignment horizontal="center" vertical="top" wrapText="1"/>
    </xf>
    <xf numFmtId="0" fontId="37" fillId="3" borderId="9" xfId="0" applyFont="1" applyFill="1" applyBorder="1" applyAlignment="1">
      <alignment horizontal="center" vertical="top" wrapText="1"/>
    </xf>
    <xf numFmtId="0" fontId="37" fillId="3" borderId="5" xfId="0" applyFont="1" applyFill="1" applyBorder="1" applyAlignment="1">
      <alignment horizontal="center" vertical="top" wrapText="1"/>
    </xf>
    <xf numFmtId="0" fontId="37" fillId="3" borderId="7" xfId="0" applyFont="1" applyFill="1" applyBorder="1" applyAlignment="1">
      <alignment horizontal="center" vertical="top" wrapText="1"/>
    </xf>
    <xf numFmtId="0" fontId="37" fillId="3" borderId="12" xfId="0" applyFont="1" applyFill="1" applyBorder="1" applyAlignment="1">
      <alignment horizontal="center" vertical="top" wrapText="1"/>
    </xf>
    <xf numFmtId="0" fontId="37" fillId="3" borderId="13" xfId="0" applyFont="1" applyFill="1" applyBorder="1" applyAlignment="1">
      <alignment horizontal="center" vertical="top" wrapText="1"/>
    </xf>
    <xf numFmtId="0" fontId="37" fillId="3" borderId="2" xfId="0" applyFont="1" applyFill="1" applyBorder="1" applyAlignment="1">
      <alignment horizontal="center" vertical="top" wrapText="1"/>
    </xf>
    <xf numFmtId="0" fontId="37" fillId="3" borderId="3" xfId="0" applyFont="1" applyFill="1" applyBorder="1" applyAlignment="1">
      <alignment horizontal="center" vertical="top" wrapText="1"/>
    </xf>
    <xf numFmtId="0" fontId="48" fillId="0" borderId="1" xfId="0" applyFont="1" applyBorder="1" applyAlignment="1">
      <alignment horizontal="left" vertical="top" wrapText="1"/>
    </xf>
    <xf numFmtId="0" fontId="49" fillId="4" borderId="1" xfId="0" applyFont="1" applyFill="1" applyBorder="1" applyAlignment="1">
      <alignment horizontal="left" vertical="top" wrapText="1"/>
    </xf>
    <xf numFmtId="0" fontId="37" fillId="3" borderId="14" xfId="0" applyFont="1" applyFill="1" applyBorder="1" applyAlignment="1">
      <alignment horizontal="center" vertical="top" wrapText="1"/>
    </xf>
    <xf numFmtId="0" fontId="37" fillId="3" borderId="6" xfId="0" applyFont="1" applyFill="1" applyBorder="1" applyAlignment="1">
      <alignment horizontal="center" vertical="top" wrapText="1"/>
    </xf>
    <xf numFmtId="0" fontId="37" fillId="3" borderId="10" xfId="0" applyFont="1" applyFill="1" applyBorder="1" applyAlignment="1">
      <alignment horizontal="center" vertical="top" wrapText="1"/>
    </xf>
    <xf numFmtId="0" fontId="50" fillId="4" borderId="8" xfId="0" applyFont="1" applyFill="1" applyBorder="1" applyAlignment="1">
      <alignment horizontal="left" vertical="top" wrapText="1"/>
    </xf>
    <xf numFmtId="0" fontId="50" fillId="4" borderId="9" xfId="0" applyFont="1" applyFill="1" applyBorder="1" applyAlignment="1">
      <alignment horizontal="left" vertical="top" wrapText="1"/>
    </xf>
    <xf numFmtId="0" fontId="50" fillId="4" borderId="4" xfId="0" applyFont="1" applyFill="1" applyBorder="1" applyAlignment="1">
      <alignment horizontal="left" vertical="top" wrapText="1"/>
    </xf>
    <xf numFmtId="0" fontId="48" fillId="0" borderId="8" xfId="0" applyFont="1" applyBorder="1" applyAlignment="1">
      <alignment horizontal="left" vertical="top" wrapText="1"/>
    </xf>
    <xf numFmtId="0" fontId="48" fillId="0" borderId="9" xfId="0" applyFont="1" applyBorder="1" applyAlignment="1">
      <alignment horizontal="left" vertical="top" wrapText="1"/>
    </xf>
    <xf numFmtId="0" fontId="49" fillId="4" borderId="8" xfId="0" applyFont="1" applyFill="1" applyBorder="1" applyAlignment="1">
      <alignment horizontal="left" vertical="top" wrapText="1"/>
    </xf>
    <xf numFmtId="0" fontId="49" fillId="4" borderId="4" xfId="0" applyFont="1" applyFill="1" applyBorder="1" applyAlignment="1">
      <alignment horizontal="left" vertical="top" wrapText="1"/>
    </xf>
    <xf numFmtId="0" fontId="49" fillId="4" borderId="9" xfId="0" applyFont="1" applyFill="1" applyBorder="1" applyAlignment="1">
      <alignment horizontal="left" vertical="top" wrapText="1"/>
    </xf>
    <xf numFmtId="0" fontId="50" fillId="0" borderId="8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50" fillId="0" borderId="9" xfId="0" applyFont="1" applyBorder="1" applyAlignment="1">
      <alignment horizontal="left" vertical="top" wrapText="1"/>
    </xf>
    <xf numFmtId="0" fontId="51" fillId="3" borderId="1" xfId="0" applyFont="1" applyFill="1" applyBorder="1" applyAlignment="1">
      <alignment horizontal="center" vertical="top" wrapText="1"/>
    </xf>
    <xf numFmtId="0" fontId="51" fillId="3" borderId="5" xfId="0" applyFont="1" applyFill="1" applyBorder="1" applyAlignment="1">
      <alignment horizontal="center" vertical="top" wrapText="1"/>
    </xf>
    <xf numFmtId="0" fontId="51" fillId="3" borderId="6" xfId="0" applyFont="1" applyFill="1" applyBorder="1" applyAlignment="1">
      <alignment horizontal="center" vertical="top" wrapText="1"/>
    </xf>
    <xf numFmtId="0" fontId="51" fillId="3" borderId="7" xfId="0" applyFont="1" applyFill="1" applyBorder="1" applyAlignment="1">
      <alignment horizontal="center" vertical="top" wrapText="1"/>
    </xf>
    <xf numFmtId="0" fontId="51" fillId="3" borderId="12" xfId="0" applyFont="1" applyFill="1" applyBorder="1" applyAlignment="1">
      <alignment horizontal="center" vertical="top" wrapText="1"/>
    </xf>
    <xf numFmtId="0" fontId="51" fillId="3" borderId="10" xfId="0" applyFont="1" applyFill="1" applyBorder="1" applyAlignment="1">
      <alignment horizontal="center" vertical="top" wrapText="1"/>
    </xf>
    <xf numFmtId="0" fontId="51" fillId="3" borderId="13" xfId="0" applyFont="1" applyFill="1" applyBorder="1" applyAlignment="1">
      <alignment horizontal="center" vertical="top" wrapText="1"/>
    </xf>
    <xf numFmtId="0" fontId="52" fillId="3" borderId="1" xfId="0" applyFont="1" applyFill="1" applyBorder="1" applyAlignment="1">
      <alignment horizontal="center" vertical="top" wrapText="1"/>
    </xf>
    <xf numFmtId="0" fontId="48" fillId="0" borderId="5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 wrapText="1"/>
    </xf>
    <xf numFmtId="0" fontId="51" fillId="3" borderId="8" xfId="0" applyFont="1" applyFill="1" applyBorder="1" applyAlignment="1">
      <alignment horizontal="center" vertical="top" wrapText="1"/>
    </xf>
    <xf numFmtId="0" fontId="51" fillId="3" borderId="9" xfId="0" applyFont="1" applyFill="1" applyBorder="1" applyAlignment="1">
      <alignment horizontal="center" vertical="top" wrapText="1"/>
    </xf>
    <xf numFmtId="0" fontId="41" fillId="0" borderId="8" xfId="0" applyFont="1" applyBorder="1" applyAlignment="1">
      <alignment horizontal="center" vertical="center" textRotation="90" wrapText="1"/>
    </xf>
    <xf numFmtId="0" fontId="41" fillId="0" borderId="9" xfId="0" applyFont="1" applyBorder="1" applyAlignment="1">
      <alignment horizontal="center" vertical="center" textRotation="90" wrapText="1"/>
    </xf>
    <xf numFmtId="0" fontId="48" fillId="0" borderId="8" xfId="0" applyFont="1" applyBorder="1" applyAlignment="1">
      <alignment horizontal="center" vertical="top" wrapText="1"/>
    </xf>
    <xf numFmtId="0" fontId="48" fillId="0" borderId="9" xfId="0" applyFont="1" applyBorder="1" applyAlignment="1">
      <alignment horizontal="center" vertical="top" wrapText="1"/>
    </xf>
    <xf numFmtId="0" fontId="49" fillId="4" borderId="8" xfId="0" applyFont="1" applyFill="1" applyBorder="1" applyAlignment="1">
      <alignment horizontal="center" vertical="top" wrapText="1"/>
    </xf>
    <xf numFmtId="0" fontId="49" fillId="4" borderId="4" xfId="0" applyFont="1" applyFill="1" applyBorder="1" applyAlignment="1">
      <alignment horizontal="center" vertical="top" wrapText="1"/>
    </xf>
    <xf numFmtId="0" fontId="49" fillId="4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opLeftCell="A4" zoomScale="73" zoomScaleNormal="73" zoomScaleSheetLayoutView="87" workbookViewId="0">
      <selection activeCell="B14" sqref="B14:J14"/>
    </sheetView>
  </sheetViews>
  <sheetFormatPr baseColWidth="10" defaultColWidth="11.5703125" defaultRowHeight="15" x14ac:dyDescent="0.25"/>
  <cols>
    <col min="1" max="1" width="11.5703125" style="1"/>
    <col min="2" max="2" width="43.28515625" style="1" customWidth="1"/>
    <col min="3" max="3" width="26.28515625" style="1" customWidth="1"/>
    <col min="4" max="4" width="43" style="1" customWidth="1"/>
    <col min="5" max="5" width="37.5703125" style="1" customWidth="1"/>
    <col min="6" max="6" width="5.42578125" style="1" customWidth="1"/>
    <col min="7" max="7" width="5.7109375" style="1" customWidth="1"/>
    <col min="8" max="8" width="6.140625" style="1" customWidth="1"/>
    <col min="9" max="9" width="6.28515625" style="1" customWidth="1"/>
    <col min="10" max="10" width="39.85546875" style="1" customWidth="1"/>
    <col min="11" max="11" width="20.28515625" style="1" customWidth="1"/>
    <col min="12" max="12" width="10.140625" style="1" customWidth="1"/>
    <col min="13" max="13" width="10.5703125" style="1" customWidth="1"/>
    <col min="14" max="14" width="11.42578125" style="1" customWidth="1"/>
    <col min="15" max="15" width="9.140625" style="1" customWidth="1"/>
    <col min="16" max="16" width="7.42578125" style="1" customWidth="1"/>
    <col min="17" max="17" width="15.85546875" style="1" customWidth="1"/>
    <col min="18" max="18" width="9.28515625" style="1" customWidth="1"/>
    <col min="19" max="19" width="5.42578125" style="1" customWidth="1"/>
    <col min="20" max="20" width="4.140625" style="1" customWidth="1"/>
    <col min="21" max="21" width="16.140625" style="1" customWidth="1"/>
    <col min="22" max="16384" width="11.5703125" style="1"/>
  </cols>
  <sheetData>
    <row r="1" spans="1:22" ht="68.25" customHeight="1" x14ac:dyDescent="0.25">
      <c r="B1" s="209" t="s">
        <v>8</v>
      </c>
      <c r="C1" s="209"/>
      <c r="D1" s="210" t="s">
        <v>7</v>
      </c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19" t="s">
        <v>56</v>
      </c>
      <c r="U1" s="220"/>
    </row>
    <row r="2" spans="1:22" ht="28.5" customHeight="1" x14ac:dyDescent="0.25">
      <c r="B2" s="208" t="s">
        <v>10</v>
      </c>
      <c r="C2" s="208"/>
      <c r="D2" s="2"/>
      <c r="E2" s="2"/>
      <c r="F2" s="221"/>
      <c r="G2" s="221"/>
      <c r="H2" s="3"/>
      <c r="I2" s="3"/>
      <c r="J2" s="3"/>
      <c r="K2" s="4"/>
      <c r="L2" s="5"/>
      <c r="M2" s="5"/>
      <c r="N2" s="5"/>
      <c r="O2" s="5"/>
      <c r="P2" s="5"/>
      <c r="Q2" s="218" t="s">
        <v>92</v>
      </c>
      <c r="R2" s="218"/>
      <c r="S2" s="218"/>
      <c r="T2" s="218"/>
      <c r="U2" s="218"/>
    </row>
    <row r="3" spans="1:22" ht="57.75" customHeight="1" x14ac:dyDescent="0.25">
      <c r="B3" s="216" t="s">
        <v>20</v>
      </c>
      <c r="C3" s="217"/>
      <c r="D3" s="6"/>
      <c r="E3" s="7"/>
      <c r="F3" s="7"/>
      <c r="G3" s="7"/>
      <c r="H3" s="7"/>
      <c r="I3" s="8"/>
      <c r="J3" s="215" t="s">
        <v>12</v>
      </c>
      <c r="K3" s="215"/>
      <c r="L3" s="196" t="s">
        <v>13</v>
      </c>
      <c r="M3" s="197"/>
      <c r="N3" s="197"/>
      <c r="O3" s="197"/>
      <c r="P3" s="197"/>
      <c r="Q3" s="197"/>
      <c r="R3" s="197"/>
      <c r="S3" s="197"/>
      <c r="T3" s="197"/>
      <c r="U3" s="198"/>
    </row>
    <row r="4" spans="1:22" ht="44.25" customHeight="1" x14ac:dyDescent="0.25">
      <c r="A4" s="196" t="s">
        <v>59</v>
      </c>
      <c r="B4" s="198"/>
      <c r="C4" s="215" t="s">
        <v>0</v>
      </c>
      <c r="D4" s="213" t="s">
        <v>57</v>
      </c>
      <c r="E4" s="213" t="s">
        <v>41</v>
      </c>
      <c r="F4" s="196" t="s">
        <v>11</v>
      </c>
      <c r="G4" s="197"/>
      <c r="H4" s="197"/>
      <c r="I4" s="198"/>
      <c r="J4" s="213" t="s">
        <v>1</v>
      </c>
      <c r="K4" s="213" t="s">
        <v>2</v>
      </c>
      <c r="L4" s="202" t="s">
        <v>60</v>
      </c>
      <c r="M4" s="203"/>
      <c r="N4" s="203"/>
      <c r="O4" s="204"/>
      <c r="P4" s="199" t="s">
        <v>14</v>
      </c>
      <c r="Q4" s="200"/>
      <c r="R4" s="200"/>
      <c r="S4" s="200"/>
      <c r="T4" s="200"/>
      <c r="U4" s="201"/>
    </row>
    <row r="5" spans="1:22" ht="48.75" customHeight="1" x14ac:dyDescent="0.25">
      <c r="A5" s="222"/>
      <c r="B5" s="223"/>
      <c r="C5" s="215"/>
      <c r="D5" s="214"/>
      <c r="E5" s="214"/>
      <c r="F5" s="27" t="s">
        <v>3</v>
      </c>
      <c r="G5" s="27" t="s">
        <v>4</v>
      </c>
      <c r="H5" s="27" t="s">
        <v>5</v>
      </c>
      <c r="I5" s="27" t="s">
        <v>6</v>
      </c>
      <c r="J5" s="214"/>
      <c r="K5" s="214"/>
      <c r="L5" s="205"/>
      <c r="M5" s="206"/>
      <c r="N5" s="206"/>
      <c r="O5" s="207"/>
      <c r="P5" s="27" t="s">
        <v>21</v>
      </c>
      <c r="Q5" s="27" t="s">
        <v>22</v>
      </c>
      <c r="R5" s="199" t="s">
        <v>67</v>
      </c>
      <c r="S5" s="200"/>
      <c r="T5" s="201"/>
      <c r="U5" s="28" t="s">
        <v>68</v>
      </c>
    </row>
    <row r="6" spans="1:22" ht="125.25" customHeight="1" x14ac:dyDescent="0.25">
      <c r="A6" s="191" t="s">
        <v>61</v>
      </c>
      <c r="B6" s="22" t="s">
        <v>58</v>
      </c>
      <c r="C6" s="22" t="s">
        <v>19</v>
      </c>
      <c r="D6" s="22" t="s">
        <v>39</v>
      </c>
      <c r="E6" s="22" t="s">
        <v>40</v>
      </c>
      <c r="F6" s="9">
        <v>3</v>
      </c>
      <c r="G6" s="9">
        <v>2</v>
      </c>
      <c r="H6" s="9">
        <v>3</v>
      </c>
      <c r="I6" s="10">
        <v>18</v>
      </c>
      <c r="J6" s="21" t="s">
        <v>28</v>
      </c>
      <c r="K6" s="21" t="s">
        <v>27</v>
      </c>
      <c r="L6" s="182" t="s">
        <v>89</v>
      </c>
      <c r="M6" s="183"/>
      <c r="N6" s="183"/>
      <c r="O6" s="184"/>
      <c r="P6" s="41" t="s">
        <v>79</v>
      </c>
      <c r="Q6" s="11"/>
      <c r="R6" s="188">
        <v>43441</v>
      </c>
      <c r="S6" s="189"/>
      <c r="T6" s="190"/>
      <c r="U6" s="12" t="s">
        <v>80</v>
      </c>
      <c r="V6" s="13"/>
    </row>
    <row r="7" spans="1:22" ht="85.5" customHeight="1" x14ac:dyDescent="0.25">
      <c r="A7" s="192"/>
      <c r="B7" s="22" t="s">
        <v>75</v>
      </c>
      <c r="C7" s="22" t="s">
        <v>15</v>
      </c>
      <c r="D7" s="22" t="s">
        <v>37</v>
      </c>
      <c r="E7" s="22" t="s">
        <v>40</v>
      </c>
      <c r="F7" s="9">
        <v>3</v>
      </c>
      <c r="G7" s="9">
        <v>2</v>
      </c>
      <c r="H7" s="9">
        <v>2</v>
      </c>
      <c r="I7" s="14">
        <f>F7*G7*H7</f>
        <v>12</v>
      </c>
      <c r="J7" s="37" t="s">
        <v>77</v>
      </c>
      <c r="K7" s="35" t="s">
        <v>16</v>
      </c>
      <c r="L7" s="182" t="s">
        <v>90</v>
      </c>
      <c r="M7" s="183"/>
      <c r="N7" s="183"/>
      <c r="O7" s="184"/>
      <c r="P7" s="41" t="s">
        <v>79</v>
      </c>
      <c r="Q7" s="11"/>
      <c r="R7" s="188">
        <v>43441</v>
      </c>
      <c r="S7" s="189"/>
      <c r="T7" s="190"/>
      <c r="U7" s="12" t="s">
        <v>80</v>
      </c>
      <c r="V7" s="13"/>
    </row>
    <row r="8" spans="1:22" ht="139.5" customHeight="1" x14ac:dyDescent="0.25">
      <c r="A8" s="192"/>
      <c r="B8" s="22" t="s">
        <v>76</v>
      </c>
      <c r="C8" s="22" t="s">
        <v>34</v>
      </c>
      <c r="D8" s="22" t="s">
        <v>35</v>
      </c>
      <c r="E8" s="22" t="s">
        <v>46</v>
      </c>
      <c r="F8" s="17">
        <v>3</v>
      </c>
      <c r="G8" s="17">
        <v>4</v>
      </c>
      <c r="H8" s="17">
        <v>4</v>
      </c>
      <c r="I8" s="16">
        <f t="shared" ref="I8:I14" si="0">F8*G8*H8</f>
        <v>48</v>
      </c>
      <c r="J8" s="23" t="s">
        <v>51</v>
      </c>
      <c r="K8" s="35" t="s">
        <v>17</v>
      </c>
      <c r="L8" s="182" t="s">
        <v>78</v>
      </c>
      <c r="M8" s="183"/>
      <c r="N8" s="183"/>
      <c r="O8" s="184"/>
      <c r="P8" s="41" t="s">
        <v>79</v>
      </c>
      <c r="Q8" s="11"/>
      <c r="R8" s="188">
        <v>43440</v>
      </c>
      <c r="S8" s="189"/>
      <c r="T8" s="190"/>
      <c r="U8" s="12" t="s">
        <v>80</v>
      </c>
      <c r="V8" s="13"/>
    </row>
    <row r="9" spans="1:22" ht="75" customHeight="1" x14ac:dyDescent="0.25">
      <c r="A9" s="192"/>
      <c r="B9" s="22" t="s">
        <v>93</v>
      </c>
      <c r="C9" s="22" t="s">
        <v>33</v>
      </c>
      <c r="D9" s="22" t="s">
        <v>38</v>
      </c>
      <c r="E9" s="22" t="s">
        <v>48</v>
      </c>
      <c r="F9" s="17">
        <v>3</v>
      </c>
      <c r="G9" s="17">
        <v>3</v>
      </c>
      <c r="H9" s="17">
        <v>1</v>
      </c>
      <c r="I9" s="14">
        <f t="shared" si="0"/>
        <v>9</v>
      </c>
      <c r="J9" s="23" t="s">
        <v>36</v>
      </c>
      <c r="K9" s="35" t="s">
        <v>9</v>
      </c>
      <c r="L9" s="182" t="s">
        <v>81</v>
      </c>
      <c r="M9" s="183"/>
      <c r="N9" s="183"/>
      <c r="O9" s="184"/>
      <c r="P9" s="41"/>
      <c r="Q9" s="11"/>
      <c r="R9" s="185" t="s">
        <v>106</v>
      </c>
      <c r="S9" s="186"/>
      <c r="T9" s="187"/>
      <c r="U9" s="12"/>
      <c r="V9" s="13"/>
    </row>
    <row r="10" spans="1:22" ht="70.5" customHeight="1" x14ac:dyDescent="0.25">
      <c r="A10" s="192"/>
      <c r="B10" s="21" t="s">
        <v>94</v>
      </c>
      <c r="C10" s="21" t="s">
        <v>42</v>
      </c>
      <c r="D10" s="21" t="s">
        <v>43</v>
      </c>
      <c r="E10" s="21" t="s">
        <v>40</v>
      </c>
      <c r="F10" s="17">
        <v>4</v>
      </c>
      <c r="G10" s="17">
        <v>3</v>
      </c>
      <c r="H10" s="17">
        <v>2</v>
      </c>
      <c r="I10" s="10">
        <f t="shared" si="0"/>
        <v>24</v>
      </c>
      <c r="J10" s="39" t="s">
        <v>49</v>
      </c>
      <c r="K10" s="35" t="s">
        <v>9</v>
      </c>
      <c r="L10" s="182" t="s">
        <v>82</v>
      </c>
      <c r="M10" s="183"/>
      <c r="N10" s="183"/>
      <c r="O10" s="184"/>
      <c r="P10" s="41"/>
      <c r="Q10" s="11"/>
      <c r="R10" s="185" t="s">
        <v>106</v>
      </c>
      <c r="S10" s="186"/>
      <c r="T10" s="187"/>
      <c r="U10" s="12"/>
      <c r="V10" s="13"/>
    </row>
    <row r="11" spans="1:22" ht="104.25" customHeight="1" x14ac:dyDescent="0.25">
      <c r="A11" s="192"/>
      <c r="B11" s="22" t="s">
        <v>95</v>
      </c>
      <c r="C11" s="22" t="s">
        <v>18</v>
      </c>
      <c r="D11" s="22" t="s">
        <v>44</v>
      </c>
      <c r="E11" s="22" t="s">
        <v>45</v>
      </c>
      <c r="F11" s="17">
        <v>3</v>
      </c>
      <c r="G11" s="17">
        <v>4</v>
      </c>
      <c r="H11" s="17">
        <v>3</v>
      </c>
      <c r="I11" s="16">
        <f t="shared" si="0"/>
        <v>36</v>
      </c>
      <c r="J11" s="23" t="s">
        <v>83</v>
      </c>
      <c r="K11" s="35" t="s">
        <v>9</v>
      </c>
      <c r="L11" s="182" t="s">
        <v>84</v>
      </c>
      <c r="M11" s="183"/>
      <c r="N11" s="183"/>
      <c r="O11" s="184"/>
      <c r="P11" s="41" t="s">
        <v>79</v>
      </c>
      <c r="Q11" s="11"/>
      <c r="R11" s="188">
        <v>43441</v>
      </c>
      <c r="S11" s="189"/>
      <c r="T11" s="190"/>
      <c r="U11" s="12" t="s">
        <v>80</v>
      </c>
      <c r="V11" s="13"/>
    </row>
    <row r="12" spans="1:22" ht="67.5" customHeight="1" x14ac:dyDescent="0.25">
      <c r="A12" s="192"/>
      <c r="B12" s="22" t="s">
        <v>96</v>
      </c>
      <c r="C12" s="22" t="s">
        <v>32</v>
      </c>
      <c r="D12" s="22" t="s">
        <v>47</v>
      </c>
      <c r="E12" s="22" t="s">
        <v>55</v>
      </c>
      <c r="F12" s="18">
        <v>4</v>
      </c>
      <c r="G12" s="18">
        <v>4</v>
      </c>
      <c r="H12" s="18">
        <v>3</v>
      </c>
      <c r="I12" s="16">
        <f t="shared" si="0"/>
        <v>48</v>
      </c>
      <c r="J12" s="23" t="s">
        <v>50</v>
      </c>
      <c r="K12" s="35" t="s">
        <v>9</v>
      </c>
      <c r="L12" s="182" t="s">
        <v>85</v>
      </c>
      <c r="M12" s="183"/>
      <c r="N12" s="183"/>
      <c r="O12" s="184"/>
      <c r="P12" s="41" t="s">
        <v>79</v>
      </c>
      <c r="Q12" s="11"/>
      <c r="R12" s="188">
        <v>43441</v>
      </c>
      <c r="S12" s="189"/>
      <c r="T12" s="190"/>
      <c r="U12" s="12" t="s">
        <v>80</v>
      </c>
      <c r="V12" s="13"/>
    </row>
    <row r="13" spans="1:22" ht="99" customHeight="1" x14ac:dyDescent="0.25">
      <c r="A13" s="192"/>
      <c r="B13" s="22" t="s">
        <v>98</v>
      </c>
      <c r="C13" s="22" t="s">
        <v>99</v>
      </c>
      <c r="D13" s="22" t="s">
        <v>101</v>
      </c>
      <c r="E13" s="22" t="s">
        <v>100</v>
      </c>
      <c r="F13" s="18">
        <v>3</v>
      </c>
      <c r="G13" s="18">
        <v>3</v>
      </c>
      <c r="H13" s="18">
        <v>2</v>
      </c>
      <c r="I13" s="10">
        <f t="shared" si="0"/>
        <v>18</v>
      </c>
      <c r="J13" s="43" t="s">
        <v>102</v>
      </c>
      <c r="K13" s="35" t="s">
        <v>103</v>
      </c>
      <c r="L13" s="182" t="s">
        <v>104</v>
      </c>
      <c r="M13" s="194"/>
      <c r="N13" s="194"/>
      <c r="O13" s="195"/>
      <c r="P13" s="41"/>
      <c r="Q13" s="11"/>
      <c r="R13" s="185" t="s">
        <v>106</v>
      </c>
      <c r="S13" s="186"/>
      <c r="T13" s="187"/>
      <c r="U13" s="12"/>
      <c r="V13" s="13"/>
    </row>
    <row r="14" spans="1:22" ht="75.75" customHeight="1" x14ac:dyDescent="0.25">
      <c r="A14" s="193"/>
      <c r="B14" s="22" t="s">
        <v>97</v>
      </c>
      <c r="C14" s="22" t="s">
        <v>29</v>
      </c>
      <c r="D14" s="22" t="s">
        <v>30</v>
      </c>
      <c r="E14" s="22" t="s">
        <v>40</v>
      </c>
      <c r="F14" s="15">
        <v>3</v>
      </c>
      <c r="G14" s="15">
        <v>3</v>
      </c>
      <c r="H14" s="15">
        <v>2</v>
      </c>
      <c r="I14" s="10">
        <f t="shared" si="0"/>
        <v>18</v>
      </c>
      <c r="J14" s="24" t="s">
        <v>31</v>
      </c>
      <c r="K14" s="35" t="s">
        <v>9</v>
      </c>
      <c r="L14" s="182" t="s">
        <v>86</v>
      </c>
      <c r="M14" s="183"/>
      <c r="N14" s="183"/>
      <c r="O14" s="184"/>
      <c r="P14" s="41" t="s">
        <v>79</v>
      </c>
      <c r="Q14" s="11"/>
      <c r="R14" s="188">
        <v>43441</v>
      </c>
      <c r="S14" s="189"/>
      <c r="T14" s="190"/>
      <c r="U14" s="40" t="s">
        <v>80</v>
      </c>
      <c r="V14" s="13"/>
    </row>
    <row r="15" spans="1:22" ht="90" customHeight="1" x14ac:dyDescent="0.25">
      <c r="A15" s="26" t="s">
        <v>62</v>
      </c>
      <c r="B15" s="25" t="s">
        <v>88</v>
      </c>
      <c r="C15" s="25" t="s">
        <v>63</v>
      </c>
      <c r="D15" s="25" t="s">
        <v>64</v>
      </c>
      <c r="E15" s="25" t="s">
        <v>65</v>
      </c>
      <c r="F15" s="19">
        <v>4</v>
      </c>
      <c r="G15" s="19">
        <v>3</v>
      </c>
      <c r="H15" s="19">
        <v>2</v>
      </c>
      <c r="I15" s="20">
        <v>24</v>
      </c>
      <c r="J15" s="25" t="s">
        <v>87</v>
      </c>
      <c r="K15" s="35" t="s">
        <v>66</v>
      </c>
      <c r="L15" s="182" t="s">
        <v>91</v>
      </c>
      <c r="M15" s="183"/>
      <c r="N15" s="183"/>
      <c r="O15" s="184"/>
      <c r="P15" s="42"/>
      <c r="Q15" s="38"/>
      <c r="R15" s="185" t="s">
        <v>106</v>
      </c>
      <c r="S15" s="186"/>
      <c r="T15" s="187"/>
      <c r="U15" s="38"/>
      <c r="V15" s="13"/>
    </row>
    <row r="16" spans="1:22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2:22" ht="15.75" x14ac:dyDescent="0.25">
      <c r="B18" s="169" t="s">
        <v>23</v>
      </c>
      <c r="C18" s="170" t="s">
        <v>52</v>
      </c>
      <c r="D18" s="172" t="s">
        <v>69</v>
      </c>
      <c r="E18" s="173"/>
      <c r="F18" s="174" t="s">
        <v>24</v>
      </c>
      <c r="G18" s="175"/>
      <c r="H18" s="175"/>
      <c r="I18" s="175"/>
      <c r="J18" s="175"/>
      <c r="K18" s="175"/>
      <c r="L18" s="176" t="s">
        <v>70</v>
      </c>
      <c r="M18" s="177"/>
      <c r="N18" s="177"/>
      <c r="O18" s="178"/>
      <c r="P18" s="159" t="s">
        <v>14</v>
      </c>
      <c r="Q18" s="160"/>
      <c r="R18" s="160"/>
      <c r="S18" s="161"/>
      <c r="T18" s="13"/>
      <c r="U18" s="13"/>
      <c r="V18" s="13"/>
    </row>
    <row r="19" spans="2:22" ht="28.5" customHeight="1" x14ac:dyDescent="0.25">
      <c r="B19" s="169"/>
      <c r="C19" s="171"/>
      <c r="D19" s="30" t="s">
        <v>26</v>
      </c>
      <c r="E19" s="30" t="s">
        <v>22</v>
      </c>
      <c r="F19" s="162" t="s">
        <v>25</v>
      </c>
      <c r="G19" s="162"/>
      <c r="H19" s="162"/>
      <c r="I19" s="162"/>
      <c r="J19" s="162"/>
      <c r="K19" s="30" t="s">
        <v>2</v>
      </c>
      <c r="L19" s="179"/>
      <c r="M19" s="180"/>
      <c r="N19" s="180"/>
      <c r="O19" s="181"/>
      <c r="P19" s="29" t="s">
        <v>71</v>
      </c>
      <c r="Q19" s="29" t="s">
        <v>72</v>
      </c>
      <c r="R19" s="29" t="s">
        <v>67</v>
      </c>
      <c r="S19" s="29" t="s">
        <v>68</v>
      </c>
      <c r="T19" s="13"/>
      <c r="U19" s="13"/>
      <c r="V19" s="13"/>
    </row>
    <row r="20" spans="2:22" ht="60.75" x14ac:dyDescent="0.25">
      <c r="B20" s="22" t="s">
        <v>53</v>
      </c>
      <c r="C20" s="36" t="s">
        <v>54</v>
      </c>
      <c r="D20" s="32" t="s">
        <v>73</v>
      </c>
      <c r="E20" s="31"/>
      <c r="F20" s="163" t="s">
        <v>74</v>
      </c>
      <c r="G20" s="164"/>
      <c r="H20" s="164"/>
      <c r="I20" s="164"/>
      <c r="J20" s="165"/>
      <c r="K20" s="33" t="s">
        <v>17</v>
      </c>
      <c r="L20" s="166" t="s">
        <v>128</v>
      </c>
      <c r="M20" s="167"/>
      <c r="N20" s="167"/>
      <c r="O20" s="168"/>
      <c r="P20" s="34"/>
      <c r="Q20" s="34"/>
      <c r="R20" s="34" t="s">
        <v>106</v>
      </c>
      <c r="S20" s="34"/>
      <c r="T20" s="13"/>
      <c r="U20" s="13"/>
      <c r="V20" s="13"/>
    </row>
  </sheetData>
  <mergeCells count="49">
    <mergeCell ref="B2:C2"/>
    <mergeCell ref="B1:C1"/>
    <mergeCell ref="D1:S1"/>
    <mergeCell ref="F4:I4"/>
    <mergeCell ref="J4:J5"/>
    <mergeCell ref="K4:K5"/>
    <mergeCell ref="C4:C5"/>
    <mergeCell ref="D4:D5"/>
    <mergeCell ref="E4:E5"/>
    <mergeCell ref="B3:C3"/>
    <mergeCell ref="J3:K3"/>
    <mergeCell ref="Q2:U2"/>
    <mergeCell ref="T1:U1"/>
    <mergeCell ref="F2:G2"/>
    <mergeCell ref="A4:B5"/>
    <mergeCell ref="P4:U4"/>
    <mergeCell ref="R9:T9"/>
    <mergeCell ref="R10:T10"/>
    <mergeCell ref="L3:U3"/>
    <mergeCell ref="R5:T5"/>
    <mergeCell ref="L4:O5"/>
    <mergeCell ref="R6:T6"/>
    <mergeCell ref="R7:T7"/>
    <mergeCell ref="R8:T8"/>
    <mergeCell ref="A6:A14"/>
    <mergeCell ref="L6:O6"/>
    <mergeCell ref="L7:O7"/>
    <mergeCell ref="L8:O8"/>
    <mergeCell ref="L9:O9"/>
    <mergeCell ref="L10:O10"/>
    <mergeCell ref="L13:O13"/>
    <mergeCell ref="L15:O15"/>
    <mergeCell ref="R15:T15"/>
    <mergeCell ref="L11:O11"/>
    <mergeCell ref="L12:O12"/>
    <mergeCell ref="L14:O14"/>
    <mergeCell ref="R11:T11"/>
    <mergeCell ref="R12:T12"/>
    <mergeCell ref="R14:T14"/>
    <mergeCell ref="R13:T13"/>
    <mergeCell ref="P18:S18"/>
    <mergeCell ref="F19:J19"/>
    <mergeCell ref="F20:J20"/>
    <mergeCell ref="L20:O20"/>
    <mergeCell ref="B18:B19"/>
    <mergeCell ref="C18:C19"/>
    <mergeCell ref="D18:E18"/>
    <mergeCell ref="F18:K18"/>
    <mergeCell ref="L18:O19"/>
  </mergeCells>
  <pageMargins left="0.70866141732283472" right="0.70866141732283472" top="0.74803149606299213" bottom="0.74803149606299213" header="0.31496062992125984" footer="0.31496062992125984"/>
  <pageSetup paperSize="9" scale="38" orientation="landscape" horizontalDpi="4294967293" verticalDpi="4294967293" r:id="rId1"/>
  <headerFooter>
    <oddFooter>&amp;LVisa Pilote: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zoomScale="86" zoomScaleNormal="86" workbookViewId="0">
      <selection activeCell="D7" sqref="D7"/>
    </sheetView>
  </sheetViews>
  <sheetFormatPr baseColWidth="10" defaultRowHeight="15" x14ac:dyDescent="0.25"/>
  <cols>
    <col min="2" max="2" width="35" customWidth="1"/>
    <col min="3" max="3" width="45.42578125" customWidth="1"/>
    <col min="4" max="4" width="34.7109375" customWidth="1"/>
    <col min="5" max="5" width="27.140625" customWidth="1"/>
    <col min="6" max="6" width="8.85546875" customWidth="1"/>
    <col min="7" max="7" width="6" customWidth="1"/>
    <col min="8" max="8" width="5.5703125" customWidth="1"/>
    <col min="10" max="10" width="34.7109375" customWidth="1"/>
    <col min="11" max="11" width="17.5703125" customWidth="1"/>
    <col min="18" max="18" width="18.42578125" customWidth="1"/>
  </cols>
  <sheetData>
    <row r="1" spans="1:21" ht="57.75" customHeight="1" x14ac:dyDescent="0.25">
      <c r="A1" s="1"/>
      <c r="B1" s="209" t="s">
        <v>8</v>
      </c>
      <c r="C1" s="209"/>
      <c r="D1" s="210" t="s">
        <v>7</v>
      </c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19" t="s">
        <v>56</v>
      </c>
      <c r="U1" s="220"/>
    </row>
    <row r="2" spans="1:21" ht="36" customHeight="1" x14ac:dyDescent="0.25">
      <c r="A2" s="1"/>
      <c r="B2" s="208" t="s">
        <v>10</v>
      </c>
      <c r="C2" s="208"/>
      <c r="D2" s="2"/>
      <c r="E2" s="2"/>
      <c r="F2" s="221"/>
      <c r="G2" s="221"/>
      <c r="H2" s="3"/>
      <c r="I2" s="3"/>
      <c r="J2" s="3"/>
      <c r="K2" s="4"/>
      <c r="L2" s="5"/>
      <c r="M2" s="5"/>
      <c r="N2" s="5"/>
      <c r="O2" s="5"/>
      <c r="P2" s="5"/>
      <c r="Q2" s="218" t="s">
        <v>125</v>
      </c>
      <c r="R2" s="218"/>
      <c r="S2" s="218"/>
      <c r="T2" s="218"/>
      <c r="U2" s="218"/>
    </row>
    <row r="3" spans="1:21" ht="40.5" customHeight="1" x14ac:dyDescent="0.25">
      <c r="A3" s="1"/>
      <c r="B3" s="216" t="s">
        <v>20</v>
      </c>
      <c r="C3" s="217"/>
      <c r="D3" s="6"/>
      <c r="E3" s="7"/>
      <c r="F3" s="7"/>
      <c r="G3" s="7"/>
      <c r="H3" s="7"/>
      <c r="I3" s="8"/>
      <c r="J3" s="215" t="s">
        <v>12</v>
      </c>
      <c r="K3" s="215"/>
      <c r="L3" s="196" t="s">
        <v>13</v>
      </c>
      <c r="M3" s="197"/>
      <c r="N3" s="197"/>
      <c r="O3" s="197"/>
      <c r="P3" s="197"/>
      <c r="Q3" s="197"/>
      <c r="R3" s="197"/>
      <c r="S3" s="197"/>
      <c r="T3" s="197"/>
      <c r="U3" s="198"/>
    </row>
    <row r="4" spans="1:21" ht="44.25" customHeight="1" x14ac:dyDescent="0.25">
      <c r="A4" s="196" t="s">
        <v>59</v>
      </c>
      <c r="B4" s="198"/>
      <c r="C4" s="215" t="s">
        <v>0</v>
      </c>
      <c r="D4" s="213" t="s">
        <v>57</v>
      </c>
      <c r="E4" s="213" t="s">
        <v>41</v>
      </c>
      <c r="F4" s="196" t="s">
        <v>11</v>
      </c>
      <c r="G4" s="197"/>
      <c r="H4" s="197"/>
      <c r="I4" s="198"/>
      <c r="J4" s="213" t="s">
        <v>1</v>
      </c>
      <c r="K4" s="213" t="s">
        <v>2</v>
      </c>
      <c r="L4" s="202" t="s">
        <v>60</v>
      </c>
      <c r="M4" s="203"/>
      <c r="N4" s="203"/>
      <c r="O4" s="204"/>
      <c r="P4" s="199" t="s">
        <v>14</v>
      </c>
      <c r="Q4" s="200"/>
      <c r="R4" s="200"/>
      <c r="S4" s="200"/>
      <c r="T4" s="200"/>
      <c r="U4" s="201"/>
    </row>
    <row r="5" spans="1:21" ht="42.75" customHeight="1" x14ac:dyDescent="0.25">
      <c r="A5" s="222"/>
      <c r="B5" s="223"/>
      <c r="C5" s="215"/>
      <c r="D5" s="214"/>
      <c r="E5" s="214"/>
      <c r="F5" s="44" t="s">
        <v>3</v>
      </c>
      <c r="G5" s="44" t="s">
        <v>4</v>
      </c>
      <c r="H5" s="44" t="s">
        <v>5</v>
      </c>
      <c r="I5" s="44" t="s">
        <v>6</v>
      </c>
      <c r="J5" s="214"/>
      <c r="K5" s="214"/>
      <c r="L5" s="205"/>
      <c r="M5" s="206"/>
      <c r="N5" s="206"/>
      <c r="O5" s="207"/>
      <c r="P5" s="44" t="s">
        <v>21</v>
      </c>
      <c r="Q5" s="44" t="s">
        <v>22</v>
      </c>
      <c r="R5" s="199" t="s">
        <v>67</v>
      </c>
      <c r="S5" s="200"/>
      <c r="T5" s="201"/>
      <c r="U5" s="44" t="s">
        <v>68</v>
      </c>
    </row>
    <row r="6" spans="1:21" ht="81" customHeight="1" x14ac:dyDescent="0.25">
      <c r="A6" s="192" t="s">
        <v>105</v>
      </c>
      <c r="B6" s="22" t="s">
        <v>93</v>
      </c>
      <c r="C6" s="22" t="s">
        <v>33</v>
      </c>
      <c r="D6" s="22" t="s">
        <v>38</v>
      </c>
      <c r="E6" s="22" t="s">
        <v>121</v>
      </c>
      <c r="F6" s="17">
        <v>3</v>
      </c>
      <c r="G6" s="17">
        <v>3</v>
      </c>
      <c r="H6" s="17">
        <v>1</v>
      </c>
      <c r="I6" s="14">
        <f t="shared" ref="I6:I8" si="0">F6*G6*H6</f>
        <v>9</v>
      </c>
      <c r="J6" s="23" t="s">
        <v>36</v>
      </c>
      <c r="K6" s="35" t="s">
        <v>9</v>
      </c>
      <c r="L6" s="182" t="s">
        <v>124</v>
      </c>
      <c r="M6" s="183"/>
      <c r="N6" s="183"/>
      <c r="O6" s="184"/>
      <c r="P6" s="41" t="s">
        <v>79</v>
      </c>
      <c r="Q6" s="11"/>
      <c r="R6" s="227">
        <v>43819</v>
      </c>
      <c r="S6" s="228"/>
      <c r="T6" s="229"/>
      <c r="U6" s="52" t="s">
        <v>80</v>
      </c>
    </row>
    <row r="7" spans="1:21" ht="80.25" customHeight="1" x14ac:dyDescent="0.25">
      <c r="A7" s="192"/>
      <c r="B7" s="21" t="s">
        <v>94</v>
      </c>
      <c r="C7" s="21" t="s">
        <v>42</v>
      </c>
      <c r="D7" s="21" t="s">
        <v>43</v>
      </c>
      <c r="E7" s="21" t="s">
        <v>40</v>
      </c>
      <c r="F7" s="17">
        <v>4</v>
      </c>
      <c r="G7" s="17">
        <v>3</v>
      </c>
      <c r="H7" s="17">
        <v>2</v>
      </c>
      <c r="I7" s="10">
        <f t="shared" si="0"/>
        <v>24</v>
      </c>
      <c r="J7" s="39" t="s">
        <v>49</v>
      </c>
      <c r="K7" s="35" t="s">
        <v>9</v>
      </c>
      <c r="L7" s="182" t="s">
        <v>82</v>
      </c>
      <c r="M7" s="183"/>
      <c r="N7" s="183"/>
      <c r="O7" s="184"/>
      <c r="P7" s="41" t="s">
        <v>79</v>
      </c>
      <c r="Q7" s="11"/>
      <c r="R7" s="227">
        <v>43819</v>
      </c>
      <c r="S7" s="228"/>
      <c r="T7" s="229"/>
      <c r="U7" s="52" t="s">
        <v>80</v>
      </c>
    </row>
    <row r="8" spans="1:21" ht="85.5" customHeight="1" x14ac:dyDescent="0.25">
      <c r="A8" s="192"/>
      <c r="B8" s="22" t="s">
        <v>98</v>
      </c>
      <c r="C8" s="22" t="s">
        <v>99</v>
      </c>
      <c r="D8" s="22" t="s">
        <v>101</v>
      </c>
      <c r="E8" s="22" t="s">
        <v>100</v>
      </c>
      <c r="F8" s="18">
        <v>3</v>
      </c>
      <c r="G8" s="18">
        <v>3</v>
      </c>
      <c r="H8" s="18">
        <v>2</v>
      </c>
      <c r="I8" s="10">
        <f t="shared" si="0"/>
        <v>18</v>
      </c>
      <c r="J8" s="43" t="s">
        <v>102</v>
      </c>
      <c r="K8" s="35" t="s">
        <v>103</v>
      </c>
      <c r="L8" s="182" t="s">
        <v>122</v>
      </c>
      <c r="M8" s="194"/>
      <c r="N8" s="194"/>
      <c r="O8" s="195"/>
      <c r="P8" s="41"/>
      <c r="Q8" s="11"/>
      <c r="R8" s="224" t="s">
        <v>127</v>
      </c>
      <c r="S8" s="225"/>
      <c r="T8" s="226"/>
      <c r="U8" s="12"/>
    </row>
    <row r="9" spans="1:21" ht="107.25" customHeight="1" x14ac:dyDescent="0.25">
      <c r="A9" s="48" t="s">
        <v>108</v>
      </c>
      <c r="B9" s="49" t="s">
        <v>88</v>
      </c>
      <c r="C9" s="49" t="s">
        <v>63</v>
      </c>
      <c r="D9" s="49" t="s">
        <v>64</v>
      </c>
      <c r="E9" s="49" t="s">
        <v>107</v>
      </c>
      <c r="F9" s="50">
        <v>4</v>
      </c>
      <c r="G9" s="50">
        <v>3</v>
      </c>
      <c r="H9" s="50">
        <v>2</v>
      </c>
      <c r="I9" s="20">
        <v>24</v>
      </c>
      <c r="J9" s="49" t="s">
        <v>109</v>
      </c>
      <c r="K9" s="35" t="s">
        <v>66</v>
      </c>
      <c r="L9" s="182" t="s">
        <v>91</v>
      </c>
      <c r="M9" s="183"/>
      <c r="N9" s="183"/>
      <c r="O9" s="184"/>
      <c r="P9" s="42" t="s">
        <v>79</v>
      </c>
      <c r="Q9" s="38"/>
      <c r="R9" s="224">
        <v>43676</v>
      </c>
      <c r="S9" s="225"/>
      <c r="T9" s="226"/>
      <c r="U9" s="46" t="s">
        <v>80</v>
      </c>
    </row>
    <row r="10" spans="1:21" ht="113.25" customHeight="1" x14ac:dyDescent="0.25">
      <c r="A10" s="48" t="s">
        <v>110</v>
      </c>
      <c r="B10" s="49" t="s">
        <v>116</v>
      </c>
      <c r="C10" s="49" t="s">
        <v>63</v>
      </c>
      <c r="D10" s="49" t="s">
        <v>111</v>
      </c>
      <c r="E10" s="49" t="s">
        <v>112</v>
      </c>
      <c r="F10" s="50">
        <v>4</v>
      </c>
      <c r="G10" s="50">
        <v>3</v>
      </c>
      <c r="H10" s="50">
        <v>2</v>
      </c>
      <c r="I10" s="20">
        <v>24</v>
      </c>
      <c r="J10" s="49" t="s">
        <v>113</v>
      </c>
      <c r="K10" s="35" t="s">
        <v>114</v>
      </c>
      <c r="L10" s="182" t="s">
        <v>115</v>
      </c>
      <c r="M10" s="183"/>
      <c r="N10" s="183"/>
      <c r="O10" s="184"/>
      <c r="P10" s="42" t="s">
        <v>79</v>
      </c>
      <c r="Q10" s="38"/>
      <c r="R10" s="224">
        <v>43784</v>
      </c>
      <c r="S10" s="225"/>
      <c r="T10" s="226"/>
      <c r="U10" s="46" t="s">
        <v>80</v>
      </c>
    </row>
    <row r="11" spans="1:21" ht="108" customHeight="1" x14ac:dyDescent="0.25">
      <c r="A11" s="48" t="s">
        <v>117</v>
      </c>
      <c r="B11" s="49" t="s">
        <v>118</v>
      </c>
      <c r="C11" s="49" t="s">
        <v>130</v>
      </c>
      <c r="D11" s="49" t="s">
        <v>123</v>
      </c>
      <c r="E11" s="49" t="s">
        <v>112</v>
      </c>
      <c r="F11" s="50">
        <v>4</v>
      </c>
      <c r="G11" s="50">
        <v>4</v>
      </c>
      <c r="H11" s="50">
        <v>2</v>
      </c>
      <c r="I11" s="47">
        <v>32</v>
      </c>
      <c r="J11" s="49" t="s">
        <v>119</v>
      </c>
      <c r="K11" s="35" t="s">
        <v>9</v>
      </c>
      <c r="L11" s="182" t="s">
        <v>120</v>
      </c>
      <c r="M11" s="183"/>
      <c r="N11" s="183"/>
      <c r="O11" s="184"/>
      <c r="P11" s="42"/>
      <c r="Q11" s="38"/>
      <c r="R11" s="224" t="s">
        <v>127</v>
      </c>
      <c r="S11" s="225"/>
      <c r="T11" s="226"/>
      <c r="U11" s="38"/>
    </row>
    <row r="12" spans="1:21" ht="31.5" customHeight="1" x14ac:dyDescent="0.25">
      <c r="A12" s="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32.25" customHeight="1" x14ac:dyDescent="0.25">
      <c r="A13" s="1"/>
      <c r="B13" s="169" t="s">
        <v>23</v>
      </c>
      <c r="C13" s="170" t="s">
        <v>52</v>
      </c>
      <c r="D13" s="172" t="s">
        <v>69</v>
      </c>
      <c r="E13" s="173"/>
      <c r="F13" s="174" t="s">
        <v>24</v>
      </c>
      <c r="G13" s="175"/>
      <c r="H13" s="175"/>
      <c r="I13" s="175"/>
      <c r="J13" s="175"/>
      <c r="K13" s="175"/>
      <c r="L13" s="176" t="s">
        <v>70</v>
      </c>
      <c r="M13" s="177"/>
      <c r="N13" s="177"/>
      <c r="O13" s="178"/>
      <c r="P13" s="159" t="s">
        <v>14</v>
      </c>
      <c r="Q13" s="160"/>
      <c r="R13" s="160"/>
      <c r="S13" s="161"/>
      <c r="T13" s="13"/>
      <c r="U13" s="13"/>
    </row>
    <row r="14" spans="1:21" ht="21" customHeight="1" x14ac:dyDescent="0.25">
      <c r="A14" s="1"/>
      <c r="B14" s="169"/>
      <c r="C14" s="171"/>
      <c r="D14" s="30" t="s">
        <v>26</v>
      </c>
      <c r="E14" s="30" t="s">
        <v>22</v>
      </c>
      <c r="F14" s="162" t="s">
        <v>25</v>
      </c>
      <c r="G14" s="162"/>
      <c r="H14" s="162"/>
      <c r="I14" s="162"/>
      <c r="J14" s="162"/>
      <c r="K14" s="30" t="s">
        <v>2</v>
      </c>
      <c r="L14" s="179"/>
      <c r="M14" s="180"/>
      <c r="N14" s="180"/>
      <c r="O14" s="181"/>
      <c r="P14" s="29" t="s">
        <v>71</v>
      </c>
      <c r="Q14" s="29" t="s">
        <v>72</v>
      </c>
      <c r="R14" s="29" t="s">
        <v>67</v>
      </c>
      <c r="S14" s="29" t="s">
        <v>68</v>
      </c>
      <c r="T14" s="13"/>
      <c r="U14" s="13"/>
    </row>
    <row r="15" spans="1:21" ht="45.75" customHeight="1" x14ac:dyDescent="0.25">
      <c r="A15" s="1"/>
      <c r="B15" s="22" t="s">
        <v>53</v>
      </c>
      <c r="C15" s="45" t="s">
        <v>54</v>
      </c>
      <c r="D15" s="32" t="s">
        <v>73</v>
      </c>
      <c r="E15" s="31"/>
      <c r="F15" s="163" t="s">
        <v>129</v>
      </c>
      <c r="G15" s="164"/>
      <c r="H15" s="164"/>
      <c r="I15" s="164"/>
      <c r="J15" s="165"/>
      <c r="K15" s="33" t="s">
        <v>17</v>
      </c>
      <c r="L15" s="166"/>
      <c r="M15" s="167"/>
      <c r="N15" s="167"/>
      <c r="O15" s="168"/>
      <c r="P15" s="34"/>
      <c r="Q15" s="34"/>
      <c r="R15" s="34"/>
      <c r="S15" s="34"/>
      <c r="T15" s="13"/>
      <c r="U15" s="13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</sheetData>
  <mergeCells count="41">
    <mergeCell ref="B13:B14"/>
    <mergeCell ref="C13:C14"/>
    <mergeCell ref="D13:E13"/>
    <mergeCell ref="F13:K13"/>
    <mergeCell ref="L13:O14"/>
    <mergeCell ref="F14:J14"/>
    <mergeCell ref="L6:O6"/>
    <mergeCell ref="R6:T6"/>
    <mergeCell ref="L7:O7"/>
    <mergeCell ref="R7:T7"/>
    <mergeCell ref="F15:J15"/>
    <mergeCell ref="L15:O15"/>
    <mergeCell ref="L9:O9"/>
    <mergeCell ref="R9:T9"/>
    <mergeCell ref="P13:S13"/>
    <mergeCell ref="L11:O11"/>
    <mergeCell ref="R11:T11"/>
    <mergeCell ref="L10:O10"/>
    <mergeCell ref="R10:T10"/>
    <mergeCell ref="L4:O5"/>
    <mergeCell ref="P4:U4"/>
    <mergeCell ref="R5:T5"/>
    <mergeCell ref="A6:A8"/>
    <mergeCell ref="B3:C3"/>
    <mergeCell ref="J3:K3"/>
    <mergeCell ref="L3:U3"/>
    <mergeCell ref="A4:B5"/>
    <mergeCell ref="C4:C5"/>
    <mergeCell ref="D4:D5"/>
    <mergeCell ref="E4:E5"/>
    <mergeCell ref="F4:I4"/>
    <mergeCell ref="J4:J5"/>
    <mergeCell ref="K4:K5"/>
    <mergeCell ref="L8:O8"/>
    <mergeCell ref="R8:T8"/>
    <mergeCell ref="B1:C1"/>
    <mergeCell ref="D1:S1"/>
    <mergeCell ref="T1:U1"/>
    <mergeCell ref="B2:C2"/>
    <mergeCell ref="F2:G2"/>
    <mergeCell ref="Q2:U2"/>
  </mergeCells>
  <pageMargins left="0.7" right="0.7" top="0.75" bottom="0.75" header="0.3" footer="0.3"/>
  <pageSetup paperSize="9" scale="3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4"/>
  <sheetViews>
    <sheetView view="pageBreakPreview" zoomScale="60" zoomScaleNormal="85" workbookViewId="0">
      <selection activeCell="N9" sqref="N9"/>
    </sheetView>
  </sheetViews>
  <sheetFormatPr baseColWidth="10" defaultRowHeight="15" x14ac:dyDescent="0.25"/>
  <cols>
    <col min="2" max="2" width="21.5703125" customWidth="1"/>
    <col min="5" max="5" width="16.140625" customWidth="1"/>
    <col min="6" max="6" width="13.5703125" customWidth="1"/>
    <col min="7" max="7" width="11.5703125" bestFit="1" customWidth="1"/>
    <col min="8" max="8" width="21.5703125" customWidth="1"/>
    <col min="9" max="9" width="16" customWidth="1"/>
    <col min="10" max="10" width="18.42578125" customWidth="1"/>
    <col min="11" max="11" width="16.140625" customWidth="1"/>
    <col min="12" max="12" width="14" customWidth="1"/>
    <col min="13" max="13" width="11.5703125" bestFit="1" customWidth="1"/>
    <col min="14" max="14" width="24.7109375" customWidth="1"/>
    <col min="15" max="15" width="15.140625" customWidth="1"/>
    <col min="22" max="22" width="14.85546875" bestFit="1" customWidth="1"/>
  </cols>
  <sheetData>
    <row r="2" spans="1:23" ht="75" customHeight="1" x14ac:dyDescent="0.25">
      <c r="A2" s="1"/>
      <c r="B2" s="209" t="s">
        <v>8</v>
      </c>
      <c r="C2" s="209"/>
      <c r="D2" s="209"/>
      <c r="E2" s="210" t="s">
        <v>169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2"/>
      <c r="U2" s="230" t="s">
        <v>132</v>
      </c>
      <c r="V2" s="231"/>
      <c r="W2" s="232"/>
    </row>
    <row r="3" spans="1:23" x14ac:dyDescent="0.25">
      <c r="A3" s="1"/>
      <c r="B3" s="54" t="s">
        <v>10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3"/>
      <c r="O3" s="4"/>
      <c r="P3" s="5"/>
      <c r="Q3" s="5"/>
      <c r="R3" s="5"/>
      <c r="S3" s="233" t="s">
        <v>133</v>
      </c>
      <c r="T3" s="233"/>
      <c r="U3" s="233"/>
      <c r="V3" s="233"/>
      <c r="W3" s="233"/>
    </row>
    <row r="4" spans="1:23" ht="39.75" customHeight="1" x14ac:dyDescent="0.25">
      <c r="A4" s="1"/>
      <c r="B4" s="69" t="s">
        <v>147</v>
      </c>
      <c r="C4" s="69"/>
      <c r="D4" s="69"/>
      <c r="E4" s="55"/>
      <c r="F4" s="55"/>
      <c r="G4" s="55"/>
      <c r="H4" s="55"/>
      <c r="I4" s="55"/>
      <c r="J4" s="55"/>
      <c r="K4" s="55"/>
      <c r="L4" s="55"/>
      <c r="M4" s="55"/>
      <c r="N4" s="234" t="s">
        <v>24</v>
      </c>
      <c r="O4" s="235"/>
      <c r="P4" s="236" t="s">
        <v>134</v>
      </c>
      <c r="Q4" s="237"/>
      <c r="R4" s="237"/>
      <c r="S4" s="237"/>
      <c r="T4" s="237"/>
      <c r="U4" s="237"/>
      <c r="V4" s="237"/>
      <c r="W4" s="238"/>
    </row>
    <row r="5" spans="1:23" ht="25.5" x14ac:dyDescent="0.25">
      <c r="A5" s="242" t="s">
        <v>135</v>
      </c>
      <c r="B5" s="242"/>
      <c r="C5" s="243" t="s">
        <v>0</v>
      </c>
      <c r="D5" s="244"/>
      <c r="E5" s="239" t="s">
        <v>41</v>
      </c>
      <c r="F5" s="241"/>
      <c r="G5" s="247" t="s">
        <v>136</v>
      </c>
      <c r="H5" s="242" t="s">
        <v>167</v>
      </c>
      <c r="I5" s="247" t="s">
        <v>137</v>
      </c>
      <c r="J5" s="249" t="s">
        <v>138</v>
      </c>
      <c r="K5" s="250"/>
      <c r="L5" s="247" t="s">
        <v>139</v>
      </c>
      <c r="M5" s="56" t="s">
        <v>140</v>
      </c>
      <c r="N5" s="251" t="s">
        <v>1</v>
      </c>
      <c r="O5" s="253" t="s">
        <v>2</v>
      </c>
      <c r="P5" s="254" t="s">
        <v>60</v>
      </c>
      <c r="Q5" s="255"/>
      <c r="R5" s="255"/>
      <c r="S5" s="256"/>
      <c r="T5" s="239" t="s">
        <v>14</v>
      </c>
      <c r="U5" s="240"/>
      <c r="V5" s="240"/>
      <c r="W5" s="241"/>
    </row>
    <row r="6" spans="1:23" ht="55.5" customHeight="1" x14ac:dyDescent="0.25">
      <c r="A6" s="242"/>
      <c r="B6" s="242"/>
      <c r="C6" s="245"/>
      <c r="D6" s="246"/>
      <c r="E6" s="57" t="s">
        <v>141</v>
      </c>
      <c r="F6" s="57" t="s">
        <v>142</v>
      </c>
      <c r="G6" s="248"/>
      <c r="H6" s="242"/>
      <c r="I6" s="248"/>
      <c r="J6" s="58" t="s">
        <v>143</v>
      </c>
      <c r="K6" s="58" t="s">
        <v>144</v>
      </c>
      <c r="L6" s="248"/>
      <c r="M6" s="59" t="s">
        <v>6</v>
      </c>
      <c r="N6" s="252"/>
      <c r="O6" s="251"/>
      <c r="P6" s="257"/>
      <c r="Q6" s="258"/>
      <c r="R6" s="258"/>
      <c r="S6" s="259"/>
      <c r="T6" s="56" t="s">
        <v>26</v>
      </c>
      <c r="U6" s="56" t="s">
        <v>22</v>
      </c>
      <c r="V6" s="56" t="s">
        <v>145</v>
      </c>
      <c r="W6" s="56" t="s">
        <v>68</v>
      </c>
    </row>
    <row r="7" spans="1:23" ht="108" customHeight="1" x14ac:dyDescent="0.25">
      <c r="A7" s="74" t="s">
        <v>126</v>
      </c>
      <c r="B7" s="70" t="s">
        <v>165</v>
      </c>
      <c r="C7" s="260" t="s">
        <v>99</v>
      </c>
      <c r="D7" s="261"/>
      <c r="E7" s="80" t="s">
        <v>100</v>
      </c>
      <c r="F7" s="80" t="s">
        <v>166</v>
      </c>
      <c r="G7" s="79">
        <v>3</v>
      </c>
      <c r="H7" s="80" t="s">
        <v>168</v>
      </c>
      <c r="I7" s="79">
        <v>3</v>
      </c>
      <c r="J7" s="80" t="s">
        <v>171</v>
      </c>
      <c r="K7" s="87" t="s">
        <v>170</v>
      </c>
      <c r="L7" s="78">
        <v>2</v>
      </c>
      <c r="M7" s="73">
        <f>G7*I7*L7</f>
        <v>18</v>
      </c>
      <c r="N7" s="82" t="s">
        <v>102</v>
      </c>
      <c r="O7" s="83" t="s">
        <v>103</v>
      </c>
      <c r="P7" s="262" t="s">
        <v>148</v>
      </c>
      <c r="Q7" s="263"/>
      <c r="R7" s="263"/>
      <c r="S7" s="264"/>
      <c r="T7" s="60"/>
      <c r="U7" s="60"/>
      <c r="V7" s="60"/>
      <c r="W7" s="60"/>
    </row>
    <row r="8" spans="1:23" ht="92.25" customHeight="1" x14ac:dyDescent="0.25">
      <c r="A8" s="51" t="s">
        <v>117</v>
      </c>
      <c r="B8" s="66" t="s">
        <v>118</v>
      </c>
      <c r="C8" s="265" t="s">
        <v>130</v>
      </c>
      <c r="D8" s="266"/>
      <c r="E8" s="80" t="s">
        <v>131</v>
      </c>
      <c r="F8" s="80" t="s">
        <v>149</v>
      </c>
      <c r="G8" s="79">
        <v>4</v>
      </c>
      <c r="H8" s="80" t="s">
        <v>123</v>
      </c>
      <c r="I8" s="79">
        <v>1</v>
      </c>
      <c r="J8" s="80" t="s">
        <v>172</v>
      </c>
      <c r="K8" s="87" t="s">
        <v>170</v>
      </c>
      <c r="L8" s="78">
        <v>2</v>
      </c>
      <c r="M8" s="77">
        <f t="shared" ref="M8:M10" si="0">G8*I8*L8</f>
        <v>8</v>
      </c>
      <c r="N8" s="82" t="s">
        <v>164</v>
      </c>
      <c r="O8" s="83" t="s">
        <v>9</v>
      </c>
      <c r="P8" s="262" t="s">
        <v>120</v>
      </c>
      <c r="Q8" s="263"/>
      <c r="R8" s="263"/>
      <c r="S8" s="264"/>
      <c r="T8" s="60" t="s">
        <v>79</v>
      </c>
      <c r="U8" s="60"/>
      <c r="V8" s="71">
        <v>43900</v>
      </c>
      <c r="W8" s="60" t="s">
        <v>80</v>
      </c>
    </row>
    <row r="9" spans="1:23" ht="145.5" customHeight="1" x14ac:dyDescent="0.25">
      <c r="A9" s="267" t="s">
        <v>153</v>
      </c>
      <c r="B9" s="267"/>
      <c r="C9" s="265" t="s">
        <v>154</v>
      </c>
      <c r="D9" s="266"/>
      <c r="E9" s="81" t="s">
        <v>155</v>
      </c>
      <c r="F9" s="81" t="s">
        <v>152</v>
      </c>
      <c r="G9" s="79">
        <v>4</v>
      </c>
      <c r="H9" s="81" t="s">
        <v>162</v>
      </c>
      <c r="I9" s="79">
        <v>2</v>
      </c>
      <c r="J9" s="81" t="s">
        <v>173</v>
      </c>
      <c r="K9" s="88" t="s">
        <v>174</v>
      </c>
      <c r="L9" s="79">
        <v>3</v>
      </c>
      <c r="M9" s="73">
        <f t="shared" si="0"/>
        <v>24</v>
      </c>
      <c r="N9" s="81" t="s">
        <v>156</v>
      </c>
      <c r="O9" s="84" t="s">
        <v>157</v>
      </c>
      <c r="P9" s="262" t="s">
        <v>175</v>
      </c>
      <c r="Q9" s="263"/>
      <c r="R9" s="263"/>
      <c r="S9" s="264"/>
      <c r="T9" s="60"/>
      <c r="U9" s="60"/>
      <c r="V9" s="60"/>
      <c r="W9" s="60"/>
    </row>
    <row r="10" spans="1:23" ht="78.75" x14ac:dyDescent="0.25">
      <c r="A10" s="268" t="s">
        <v>150</v>
      </c>
      <c r="B10" s="269"/>
      <c r="C10" s="265" t="s">
        <v>158</v>
      </c>
      <c r="D10" s="266"/>
      <c r="E10" s="81" t="s">
        <v>151</v>
      </c>
      <c r="F10" s="81" t="s">
        <v>159</v>
      </c>
      <c r="G10" s="79">
        <v>4</v>
      </c>
      <c r="H10" s="81" t="s">
        <v>160</v>
      </c>
      <c r="I10" s="72">
        <v>2</v>
      </c>
      <c r="J10" s="81" t="s">
        <v>177</v>
      </c>
      <c r="K10" s="88" t="s">
        <v>178</v>
      </c>
      <c r="L10" s="72">
        <v>3</v>
      </c>
      <c r="M10" s="86">
        <f t="shared" si="0"/>
        <v>24</v>
      </c>
      <c r="N10" s="81" t="s">
        <v>176</v>
      </c>
      <c r="O10" s="81" t="s">
        <v>161</v>
      </c>
      <c r="P10" s="262" t="s">
        <v>179</v>
      </c>
      <c r="Q10" s="263"/>
      <c r="R10" s="263"/>
      <c r="S10" s="264"/>
      <c r="T10" s="85"/>
      <c r="U10" s="85"/>
      <c r="V10" s="85"/>
      <c r="W10" s="85"/>
    </row>
    <row r="11" spans="1:2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x14ac:dyDescent="0.25">
      <c r="A12" s="1"/>
      <c r="B12" s="169" t="s">
        <v>23</v>
      </c>
      <c r="C12" s="169" t="s">
        <v>52</v>
      </c>
      <c r="D12" s="169"/>
      <c r="E12" s="169" t="s">
        <v>69</v>
      </c>
      <c r="F12" s="169"/>
      <c r="G12" s="169" t="s">
        <v>24</v>
      </c>
      <c r="H12" s="169"/>
      <c r="I12" s="169"/>
      <c r="J12" s="172" t="s">
        <v>70</v>
      </c>
      <c r="K12" s="276"/>
      <c r="L12" s="173"/>
      <c r="M12" s="280" t="s">
        <v>14</v>
      </c>
      <c r="N12" s="280"/>
      <c r="O12" s="280"/>
      <c r="P12" s="280"/>
      <c r="S12" s="61"/>
      <c r="T12" s="270"/>
      <c r="U12" s="270"/>
      <c r="V12" s="270"/>
      <c r="W12" s="270"/>
    </row>
    <row r="13" spans="1:23" ht="31.5" x14ac:dyDescent="0.25">
      <c r="A13" s="1"/>
      <c r="B13" s="169"/>
      <c r="C13" s="62" t="s">
        <v>141</v>
      </c>
      <c r="D13" s="62" t="s">
        <v>142</v>
      </c>
      <c r="E13" s="53" t="s">
        <v>26</v>
      </c>
      <c r="F13" s="53" t="s">
        <v>22</v>
      </c>
      <c r="G13" s="271" t="s">
        <v>1</v>
      </c>
      <c r="H13" s="272"/>
      <c r="I13" s="30" t="s">
        <v>146</v>
      </c>
      <c r="J13" s="277"/>
      <c r="K13" s="278"/>
      <c r="L13" s="279"/>
      <c r="M13" s="29" t="s">
        <v>71</v>
      </c>
      <c r="N13" s="29" t="s">
        <v>72</v>
      </c>
      <c r="O13" s="29" t="s">
        <v>67</v>
      </c>
      <c r="P13" s="29" t="s">
        <v>68</v>
      </c>
      <c r="Q13" s="61"/>
      <c r="S13" s="61"/>
      <c r="T13" s="63"/>
      <c r="U13" s="63"/>
      <c r="V13" s="63"/>
      <c r="W13" s="63"/>
    </row>
    <row r="14" spans="1:23" ht="63" x14ac:dyDescent="0.25">
      <c r="A14" s="1"/>
      <c r="B14" s="64" t="s">
        <v>53</v>
      </c>
      <c r="C14" s="64" t="s">
        <v>54</v>
      </c>
      <c r="D14" s="31"/>
      <c r="E14" s="32" t="s">
        <v>79</v>
      </c>
      <c r="F14" s="32"/>
      <c r="G14" s="260" t="s">
        <v>74</v>
      </c>
      <c r="H14" s="261"/>
      <c r="I14" s="32" t="s">
        <v>163</v>
      </c>
      <c r="J14" s="273" t="s">
        <v>128</v>
      </c>
      <c r="K14" s="274"/>
      <c r="L14" s="275"/>
      <c r="M14" s="31"/>
      <c r="N14" s="65"/>
      <c r="O14" s="33"/>
      <c r="P14" s="66"/>
      <c r="Q14" s="67"/>
      <c r="S14" s="67"/>
      <c r="T14" s="68"/>
      <c r="U14" s="68"/>
      <c r="V14" s="68"/>
      <c r="W14" s="68"/>
    </row>
  </sheetData>
  <mergeCells count="38">
    <mergeCell ref="T12:W12"/>
    <mergeCell ref="G13:H13"/>
    <mergeCell ref="G14:H14"/>
    <mergeCell ref="J14:L14"/>
    <mergeCell ref="G12:I12"/>
    <mergeCell ref="J12:L13"/>
    <mergeCell ref="M12:P12"/>
    <mergeCell ref="A9:B9"/>
    <mergeCell ref="A10:B10"/>
    <mergeCell ref="C10:D10"/>
    <mergeCell ref="B12:B13"/>
    <mergeCell ref="C12:D12"/>
    <mergeCell ref="E12:F12"/>
    <mergeCell ref="C7:D7"/>
    <mergeCell ref="P7:S7"/>
    <mergeCell ref="C9:D9"/>
    <mergeCell ref="P10:S10"/>
    <mergeCell ref="P9:S9"/>
    <mergeCell ref="C8:D8"/>
    <mergeCell ref="P8:S8"/>
    <mergeCell ref="T5:W5"/>
    <mergeCell ref="A5:B6"/>
    <mergeCell ref="C5:D6"/>
    <mergeCell ref="E5:F5"/>
    <mergeCell ref="G5:G6"/>
    <mergeCell ref="H5:H6"/>
    <mergeCell ref="I5:I6"/>
    <mergeCell ref="J5:K5"/>
    <mergeCell ref="L5:L6"/>
    <mergeCell ref="N5:N6"/>
    <mergeCell ref="O5:O6"/>
    <mergeCell ref="P5:S6"/>
    <mergeCell ref="B2:D2"/>
    <mergeCell ref="E2:T2"/>
    <mergeCell ref="U2:W2"/>
    <mergeCell ref="S3:W3"/>
    <mergeCell ref="N4:O4"/>
    <mergeCell ref="P4:W4"/>
  </mergeCells>
  <pageMargins left="0.7" right="0.7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4"/>
  <sheetViews>
    <sheetView topLeftCell="L2" zoomScaleNormal="100" workbookViewId="0">
      <selection activeCell="N7" sqref="N7"/>
    </sheetView>
  </sheetViews>
  <sheetFormatPr baseColWidth="10" defaultRowHeight="15" x14ac:dyDescent="0.25"/>
  <cols>
    <col min="2" max="2" width="24.7109375" customWidth="1"/>
    <col min="3" max="3" width="17.42578125" customWidth="1"/>
    <col min="5" max="5" width="19.42578125" customWidth="1"/>
    <col min="6" max="6" width="16.7109375" customWidth="1"/>
    <col min="8" max="8" width="24" customWidth="1"/>
    <col min="9" max="9" width="21.7109375" customWidth="1"/>
    <col min="10" max="10" width="19.85546875" customWidth="1"/>
    <col min="11" max="11" width="23.42578125" customWidth="1"/>
    <col min="12" max="12" width="18.5703125" customWidth="1"/>
    <col min="13" max="13" width="20" customWidth="1"/>
    <col min="14" max="14" width="24.7109375" customWidth="1"/>
    <col min="15" max="15" width="18" customWidth="1"/>
    <col min="23" max="23" width="14.85546875" bestFit="1" customWidth="1"/>
  </cols>
  <sheetData>
    <row r="2" spans="1:23" ht="91.5" customHeight="1" x14ac:dyDescent="0.25">
      <c r="A2" s="1"/>
      <c r="B2" s="302" t="s">
        <v>181</v>
      </c>
      <c r="C2" s="302"/>
      <c r="D2" s="302"/>
      <c r="E2" s="210" t="s">
        <v>182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2"/>
      <c r="U2" s="230" t="s">
        <v>132</v>
      </c>
      <c r="V2" s="231"/>
      <c r="W2" s="232"/>
    </row>
    <row r="3" spans="1:23" ht="27.75" customHeight="1" x14ac:dyDescent="0.25">
      <c r="A3" s="1"/>
      <c r="B3" s="98" t="s">
        <v>10</v>
      </c>
      <c r="C3" s="98"/>
      <c r="D3" s="98"/>
      <c r="E3" s="98"/>
      <c r="F3" s="54"/>
      <c r="G3" s="54"/>
      <c r="H3" s="54"/>
      <c r="I3" s="54"/>
      <c r="J3" s="54"/>
      <c r="K3" s="54"/>
      <c r="L3" s="54"/>
      <c r="M3" s="54"/>
      <c r="N3" s="3"/>
      <c r="O3" s="4"/>
      <c r="P3" s="5"/>
      <c r="Q3" s="5"/>
      <c r="R3" s="5"/>
      <c r="S3" s="295" t="s">
        <v>204</v>
      </c>
      <c r="T3" s="295"/>
      <c r="U3" s="295"/>
      <c r="V3" s="295"/>
      <c r="W3" s="295"/>
    </row>
    <row r="4" spans="1:23" ht="39.75" customHeight="1" x14ac:dyDescent="0.25">
      <c r="A4" s="1"/>
      <c r="B4" s="96" t="s">
        <v>147</v>
      </c>
      <c r="C4" s="96"/>
      <c r="D4" s="96"/>
      <c r="E4" s="97"/>
      <c r="F4" s="55"/>
      <c r="G4" s="55"/>
      <c r="H4" s="55"/>
      <c r="I4" s="55"/>
      <c r="J4" s="55"/>
      <c r="K4" s="55"/>
      <c r="L4" s="55"/>
      <c r="M4" s="55"/>
      <c r="N4" s="296" t="s">
        <v>24</v>
      </c>
      <c r="O4" s="297"/>
      <c r="P4" s="298" t="s">
        <v>134</v>
      </c>
      <c r="Q4" s="299"/>
      <c r="R4" s="299"/>
      <c r="S4" s="299"/>
      <c r="T4" s="299"/>
      <c r="U4" s="299"/>
      <c r="V4" s="299"/>
      <c r="W4" s="300"/>
    </row>
    <row r="5" spans="1:23" ht="64.5" customHeight="1" x14ac:dyDescent="0.25">
      <c r="A5" s="280" t="s">
        <v>135</v>
      </c>
      <c r="B5" s="280"/>
      <c r="C5" s="176" t="s">
        <v>0</v>
      </c>
      <c r="D5" s="178"/>
      <c r="E5" s="249" t="s">
        <v>41</v>
      </c>
      <c r="F5" s="250"/>
      <c r="G5" s="251" t="s">
        <v>136</v>
      </c>
      <c r="H5" s="253" t="s">
        <v>167</v>
      </c>
      <c r="I5" s="251" t="s">
        <v>137</v>
      </c>
      <c r="J5" s="249" t="s">
        <v>138</v>
      </c>
      <c r="K5" s="250"/>
      <c r="L5" s="251" t="s">
        <v>139</v>
      </c>
      <c r="M5" s="89" t="s">
        <v>140</v>
      </c>
      <c r="N5" s="251" t="s">
        <v>1</v>
      </c>
      <c r="O5" s="253" t="s">
        <v>2</v>
      </c>
      <c r="P5" s="254" t="s">
        <v>60</v>
      </c>
      <c r="Q5" s="255"/>
      <c r="R5" s="255"/>
      <c r="S5" s="256"/>
      <c r="T5" s="249" t="s">
        <v>14</v>
      </c>
      <c r="U5" s="301"/>
      <c r="V5" s="301"/>
      <c r="W5" s="250"/>
    </row>
    <row r="6" spans="1:23" ht="72.75" customHeight="1" x14ac:dyDescent="0.25">
      <c r="A6" s="280"/>
      <c r="B6" s="280"/>
      <c r="C6" s="179"/>
      <c r="D6" s="181"/>
      <c r="E6" s="91" t="s">
        <v>141</v>
      </c>
      <c r="F6" s="91" t="s">
        <v>142</v>
      </c>
      <c r="G6" s="303"/>
      <c r="H6" s="253"/>
      <c r="I6" s="303"/>
      <c r="J6" s="92" t="s">
        <v>143</v>
      </c>
      <c r="K6" s="92" t="s">
        <v>144</v>
      </c>
      <c r="L6" s="303"/>
      <c r="M6" s="90" t="s">
        <v>6</v>
      </c>
      <c r="N6" s="252"/>
      <c r="O6" s="251"/>
      <c r="P6" s="257"/>
      <c r="Q6" s="258"/>
      <c r="R6" s="258"/>
      <c r="S6" s="259"/>
      <c r="T6" s="89" t="s">
        <v>26</v>
      </c>
      <c r="U6" s="89" t="s">
        <v>22</v>
      </c>
      <c r="V6" s="89" t="s">
        <v>145</v>
      </c>
      <c r="W6" s="89" t="s">
        <v>68</v>
      </c>
    </row>
    <row r="7" spans="1:23" ht="183" customHeight="1" x14ac:dyDescent="0.25">
      <c r="A7" s="114" t="s">
        <v>126</v>
      </c>
      <c r="B7" s="22" t="s">
        <v>165</v>
      </c>
      <c r="C7" s="283" t="s">
        <v>99</v>
      </c>
      <c r="D7" s="284"/>
      <c r="E7" s="104" t="s">
        <v>100</v>
      </c>
      <c r="F7" s="104" t="s">
        <v>166</v>
      </c>
      <c r="G7" s="100">
        <v>3</v>
      </c>
      <c r="H7" s="104" t="s">
        <v>168</v>
      </c>
      <c r="I7" s="100">
        <v>3</v>
      </c>
      <c r="J7" s="104" t="s">
        <v>171</v>
      </c>
      <c r="K7" s="103" t="s">
        <v>170</v>
      </c>
      <c r="L7" s="110">
        <v>2</v>
      </c>
      <c r="M7" s="112">
        <f>G7*I7*L7</f>
        <v>18</v>
      </c>
      <c r="N7" s="35" t="s">
        <v>102</v>
      </c>
      <c r="O7" s="94" t="s">
        <v>103</v>
      </c>
      <c r="P7" s="285" t="s">
        <v>148</v>
      </c>
      <c r="Q7" s="286"/>
      <c r="R7" s="286"/>
      <c r="S7" s="287"/>
      <c r="T7" s="60"/>
      <c r="U7" s="60"/>
      <c r="V7" s="60" t="s">
        <v>194</v>
      </c>
      <c r="W7" s="60"/>
    </row>
    <row r="8" spans="1:23" ht="254.25" customHeight="1" x14ac:dyDescent="0.25">
      <c r="A8" s="304" t="s">
        <v>153</v>
      </c>
      <c r="B8" s="304"/>
      <c r="C8" s="283" t="s">
        <v>154</v>
      </c>
      <c r="D8" s="284"/>
      <c r="E8" s="99" t="s">
        <v>155</v>
      </c>
      <c r="F8" s="99" t="s">
        <v>152</v>
      </c>
      <c r="G8" s="100">
        <v>4</v>
      </c>
      <c r="H8" s="99" t="s">
        <v>180</v>
      </c>
      <c r="I8" s="100">
        <v>2</v>
      </c>
      <c r="J8" s="99" t="s">
        <v>173</v>
      </c>
      <c r="K8" s="102" t="s">
        <v>174</v>
      </c>
      <c r="L8" s="111">
        <v>3</v>
      </c>
      <c r="M8" s="112">
        <f t="shared" ref="M8:M10" si="0">G8*I8*L8</f>
        <v>24</v>
      </c>
      <c r="N8" s="105" t="s">
        <v>192</v>
      </c>
      <c r="O8" s="95" t="s">
        <v>157</v>
      </c>
      <c r="P8" s="285" t="s">
        <v>175</v>
      </c>
      <c r="Q8" s="286"/>
      <c r="R8" s="286"/>
      <c r="S8" s="287"/>
      <c r="T8" s="60"/>
      <c r="U8" s="60"/>
      <c r="V8" s="60" t="s">
        <v>194</v>
      </c>
      <c r="W8" s="60"/>
    </row>
    <row r="9" spans="1:23" ht="254.25" customHeight="1" x14ac:dyDescent="0.25">
      <c r="A9" s="281" t="s">
        <v>150</v>
      </c>
      <c r="B9" s="282"/>
      <c r="C9" s="283" t="s">
        <v>158</v>
      </c>
      <c r="D9" s="284"/>
      <c r="E9" s="99" t="s">
        <v>151</v>
      </c>
      <c r="F9" s="99" t="s">
        <v>159</v>
      </c>
      <c r="G9" s="100">
        <v>4</v>
      </c>
      <c r="H9" s="99" t="s">
        <v>160</v>
      </c>
      <c r="I9" s="101">
        <v>2</v>
      </c>
      <c r="J9" s="99" t="s">
        <v>177</v>
      </c>
      <c r="K9" s="102" t="s">
        <v>178</v>
      </c>
      <c r="L9" s="101">
        <v>3</v>
      </c>
      <c r="M9" s="113">
        <f t="shared" ref="M9" si="1">G9*I9*L9</f>
        <v>24</v>
      </c>
      <c r="N9" s="105" t="s">
        <v>176</v>
      </c>
      <c r="O9" s="93" t="s">
        <v>161</v>
      </c>
      <c r="P9" s="285" t="s">
        <v>183</v>
      </c>
      <c r="Q9" s="286"/>
      <c r="R9" s="286"/>
      <c r="S9" s="287"/>
      <c r="T9" s="85" t="s">
        <v>79</v>
      </c>
      <c r="U9" s="85"/>
      <c r="V9" s="85" t="s">
        <v>184</v>
      </c>
      <c r="W9" s="115">
        <v>44294</v>
      </c>
    </row>
    <row r="10" spans="1:23" ht="180" customHeight="1" x14ac:dyDescent="0.25">
      <c r="A10" s="281" t="s">
        <v>185</v>
      </c>
      <c r="B10" s="282"/>
      <c r="C10" s="283" t="s">
        <v>186</v>
      </c>
      <c r="D10" s="284"/>
      <c r="E10" s="99" t="s">
        <v>151</v>
      </c>
      <c r="F10" s="99" t="s">
        <v>187</v>
      </c>
      <c r="G10" s="100">
        <v>4</v>
      </c>
      <c r="H10" s="99" t="s">
        <v>188</v>
      </c>
      <c r="I10" s="101">
        <v>2</v>
      </c>
      <c r="J10" s="99" t="s">
        <v>189</v>
      </c>
      <c r="K10" s="102"/>
      <c r="L10" s="101">
        <v>3</v>
      </c>
      <c r="M10" s="113">
        <f t="shared" si="0"/>
        <v>24</v>
      </c>
      <c r="N10" s="105" t="s">
        <v>190</v>
      </c>
      <c r="O10" s="93" t="s">
        <v>191</v>
      </c>
      <c r="P10" s="285" t="s">
        <v>193</v>
      </c>
      <c r="Q10" s="286"/>
      <c r="R10" s="286"/>
      <c r="S10" s="287"/>
      <c r="T10" s="85"/>
      <c r="U10" s="85"/>
      <c r="V10" s="85" t="s">
        <v>194</v>
      </c>
      <c r="W10" s="115"/>
    </row>
    <row r="11" spans="1:23" ht="31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9.5" customHeight="1" x14ac:dyDescent="0.25">
      <c r="A12" s="1"/>
      <c r="B12" s="169" t="s">
        <v>23</v>
      </c>
      <c r="C12" s="169" t="s">
        <v>52</v>
      </c>
      <c r="D12" s="169"/>
      <c r="E12" s="169" t="s">
        <v>69</v>
      </c>
      <c r="F12" s="169"/>
      <c r="G12" s="288" t="s">
        <v>24</v>
      </c>
      <c r="H12" s="288"/>
      <c r="I12" s="288"/>
      <c r="J12" s="172" t="s">
        <v>70</v>
      </c>
      <c r="K12" s="276"/>
      <c r="L12" s="173"/>
      <c r="M12" s="289" t="s">
        <v>14</v>
      </c>
      <c r="N12" s="289"/>
      <c r="O12" s="289"/>
      <c r="P12" s="289"/>
      <c r="S12" s="61"/>
      <c r="T12" s="270"/>
      <c r="U12" s="270"/>
      <c r="V12" s="270"/>
      <c r="W12" s="270"/>
    </row>
    <row r="13" spans="1:23" ht="55.5" customHeight="1" x14ac:dyDescent="0.25">
      <c r="A13" s="1"/>
      <c r="B13" s="169"/>
      <c r="C13" s="62" t="s">
        <v>141</v>
      </c>
      <c r="D13" s="62" t="s">
        <v>142</v>
      </c>
      <c r="E13" s="75" t="s">
        <v>26</v>
      </c>
      <c r="F13" s="75" t="s">
        <v>22</v>
      </c>
      <c r="G13" s="290" t="s">
        <v>1</v>
      </c>
      <c r="H13" s="291"/>
      <c r="I13" s="109" t="s">
        <v>146</v>
      </c>
      <c r="J13" s="277"/>
      <c r="K13" s="278"/>
      <c r="L13" s="279"/>
      <c r="M13" s="108" t="s">
        <v>71</v>
      </c>
      <c r="N13" s="108" t="s">
        <v>72</v>
      </c>
      <c r="O13" s="108" t="s">
        <v>67</v>
      </c>
      <c r="P13" s="108" t="s">
        <v>68</v>
      </c>
      <c r="Q13" s="61"/>
      <c r="S13" s="61"/>
      <c r="T13" s="76"/>
      <c r="U13" s="76"/>
      <c r="V13" s="76"/>
      <c r="W13" s="76"/>
    </row>
    <row r="14" spans="1:23" ht="110.25" customHeight="1" x14ac:dyDescent="0.25">
      <c r="A14" s="1"/>
      <c r="B14" s="99" t="s">
        <v>53</v>
      </c>
      <c r="C14" s="99" t="s">
        <v>54</v>
      </c>
      <c r="D14" s="106"/>
      <c r="E14" s="107" t="s">
        <v>79</v>
      </c>
      <c r="F14" s="107"/>
      <c r="G14" s="283" t="s">
        <v>74</v>
      </c>
      <c r="H14" s="284"/>
      <c r="I14" s="107" t="s">
        <v>163</v>
      </c>
      <c r="J14" s="292" t="s">
        <v>128</v>
      </c>
      <c r="K14" s="293"/>
      <c r="L14" s="294"/>
      <c r="M14" s="31"/>
      <c r="N14" s="65"/>
      <c r="O14" s="33" t="s">
        <v>194</v>
      </c>
      <c r="P14" s="66"/>
      <c r="Q14" s="67"/>
      <c r="S14" s="67"/>
      <c r="T14" s="68"/>
      <c r="U14" s="68"/>
      <c r="V14" s="68"/>
      <c r="W14" s="68"/>
    </row>
  </sheetData>
  <mergeCells count="39">
    <mergeCell ref="A9:B9"/>
    <mergeCell ref="C9:D9"/>
    <mergeCell ref="P9:S9"/>
    <mergeCell ref="B2:D2"/>
    <mergeCell ref="E2:T2"/>
    <mergeCell ref="A5:B6"/>
    <mergeCell ref="C5:D6"/>
    <mergeCell ref="E5:F5"/>
    <mergeCell ref="G5:G6"/>
    <mergeCell ref="H5:H6"/>
    <mergeCell ref="I5:I6"/>
    <mergeCell ref="J5:K5"/>
    <mergeCell ref="L5:L6"/>
    <mergeCell ref="C7:D7"/>
    <mergeCell ref="P7:S7"/>
    <mergeCell ref="A8:B8"/>
    <mergeCell ref="U2:W2"/>
    <mergeCell ref="S3:W3"/>
    <mergeCell ref="N4:O4"/>
    <mergeCell ref="P4:W4"/>
    <mergeCell ref="T5:W5"/>
    <mergeCell ref="N5:N6"/>
    <mergeCell ref="O5:O6"/>
    <mergeCell ref="P5:S6"/>
    <mergeCell ref="C8:D8"/>
    <mergeCell ref="P8:S8"/>
    <mergeCell ref="T12:W12"/>
    <mergeCell ref="G13:H13"/>
    <mergeCell ref="G14:H14"/>
    <mergeCell ref="J14:L14"/>
    <mergeCell ref="A10:B10"/>
    <mergeCell ref="C10:D10"/>
    <mergeCell ref="P10:S10"/>
    <mergeCell ref="B12:B13"/>
    <mergeCell ref="C12:D12"/>
    <mergeCell ref="E12:F12"/>
    <mergeCell ref="G12:I12"/>
    <mergeCell ref="J12:L13"/>
    <mergeCell ref="M12:P12"/>
  </mergeCells>
  <pageMargins left="0.7" right="0.7" top="0.75" bottom="0.75" header="0.3" footer="0.3"/>
  <pageSetup paperSize="9" scale="34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4"/>
  <sheetViews>
    <sheetView view="pageBreakPreview" topLeftCell="A4" zoomScale="84" zoomScaleNormal="112" zoomScaleSheetLayoutView="84" workbookViewId="0">
      <selection activeCell="E10" sqref="E10"/>
    </sheetView>
  </sheetViews>
  <sheetFormatPr baseColWidth="10" defaultRowHeight="15" x14ac:dyDescent="0.25"/>
  <cols>
    <col min="2" max="2" width="23" customWidth="1"/>
    <col min="3" max="3" width="17.42578125" customWidth="1"/>
    <col min="5" max="5" width="19.42578125" customWidth="1"/>
    <col min="6" max="6" width="16.7109375" customWidth="1"/>
    <col min="8" max="8" width="31" customWidth="1"/>
    <col min="9" max="9" width="21.7109375" customWidth="1"/>
    <col min="10" max="10" width="24.42578125" customWidth="1"/>
    <col min="11" max="11" width="23.42578125" customWidth="1"/>
    <col min="12" max="12" width="18.5703125" customWidth="1"/>
    <col min="13" max="13" width="20" customWidth="1"/>
    <col min="14" max="14" width="42.140625" customWidth="1"/>
    <col min="15" max="15" width="18" customWidth="1"/>
    <col min="22" max="22" width="15.85546875" customWidth="1"/>
    <col min="23" max="23" width="14.85546875" bestFit="1" customWidth="1"/>
  </cols>
  <sheetData>
    <row r="2" spans="1:23" ht="54" customHeight="1" x14ac:dyDescent="0.25">
      <c r="A2" s="1"/>
      <c r="B2" s="307" t="s">
        <v>181</v>
      </c>
      <c r="C2" s="307"/>
      <c r="D2" s="307"/>
      <c r="E2" s="308" t="s">
        <v>195</v>
      </c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230" t="s">
        <v>132</v>
      </c>
      <c r="V2" s="231"/>
      <c r="W2" s="232"/>
    </row>
    <row r="3" spans="1:23" ht="27.75" customHeight="1" x14ac:dyDescent="0.25">
      <c r="A3" s="1"/>
      <c r="B3" s="98" t="s">
        <v>10</v>
      </c>
      <c r="C3" s="98"/>
      <c r="D3" s="98"/>
      <c r="E3" s="98"/>
      <c r="F3" s="54"/>
      <c r="G3" s="54"/>
      <c r="H3" s="54"/>
      <c r="I3" s="54"/>
      <c r="J3" s="54"/>
      <c r="K3" s="54"/>
      <c r="L3" s="54"/>
      <c r="M3" s="54"/>
      <c r="N3" s="3"/>
      <c r="O3" s="4"/>
      <c r="P3" s="5"/>
      <c r="Q3" s="5"/>
      <c r="R3" s="5"/>
      <c r="S3" s="295" t="s">
        <v>205</v>
      </c>
      <c r="T3" s="295"/>
      <c r="U3" s="295"/>
      <c r="V3" s="295"/>
      <c r="W3" s="295"/>
    </row>
    <row r="4" spans="1:23" ht="30.75" customHeight="1" x14ac:dyDescent="0.25">
      <c r="A4" s="1"/>
      <c r="B4" s="96" t="s">
        <v>147</v>
      </c>
      <c r="C4" s="96"/>
      <c r="D4" s="96"/>
      <c r="E4" s="97"/>
      <c r="F4" s="55"/>
      <c r="G4" s="55"/>
      <c r="H4" s="55"/>
      <c r="I4" s="55"/>
      <c r="J4" s="55"/>
      <c r="K4" s="55"/>
      <c r="L4" s="55"/>
      <c r="M4" s="55"/>
      <c r="N4" s="296" t="s">
        <v>24</v>
      </c>
      <c r="O4" s="297"/>
      <c r="P4" s="298" t="s">
        <v>134</v>
      </c>
      <c r="Q4" s="299"/>
      <c r="R4" s="299"/>
      <c r="S4" s="299"/>
      <c r="T4" s="299"/>
      <c r="U4" s="299"/>
      <c r="V4" s="299"/>
      <c r="W4" s="300"/>
    </row>
    <row r="5" spans="1:23" ht="64.5" customHeight="1" x14ac:dyDescent="0.25">
      <c r="A5" s="280" t="s">
        <v>135</v>
      </c>
      <c r="B5" s="280"/>
      <c r="C5" s="176" t="s">
        <v>0</v>
      </c>
      <c r="D5" s="178"/>
      <c r="E5" s="249" t="s">
        <v>41</v>
      </c>
      <c r="F5" s="250"/>
      <c r="G5" s="251" t="s">
        <v>136</v>
      </c>
      <c r="H5" s="253" t="s">
        <v>167</v>
      </c>
      <c r="I5" s="251" t="s">
        <v>137</v>
      </c>
      <c r="J5" s="249" t="s">
        <v>138</v>
      </c>
      <c r="K5" s="250"/>
      <c r="L5" s="251" t="s">
        <v>139</v>
      </c>
      <c r="M5" s="117" t="s">
        <v>140</v>
      </c>
      <c r="N5" s="251" t="s">
        <v>1</v>
      </c>
      <c r="O5" s="253" t="s">
        <v>2</v>
      </c>
      <c r="P5" s="254" t="s">
        <v>60</v>
      </c>
      <c r="Q5" s="255"/>
      <c r="R5" s="255"/>
      <c r="S5" s="256"/>
      <c r="T5" s="249" t="s">
        <v>14</v>
      </c>
      <c r="U5" s="301"/>
      <c r="V5" s="301"/>
      <c r="W5" s="250"/>
    </row>
    <row r="6" spans="1:23" ht="44.25" customHeight="1" x14ac:dyDescent="0.25">
      <c r="A6" s="280"/>
      <c r="B6" s="280"/>
      <c r="C6" s="179"/>
      <c r="D6" s="181"/>
      <c r="E6" s="122" t="s">
        <v>141</v>
      </c>
      <c r="F6" s="122" t="s">
        <v>142</v>
      </c>
      <c r="G6" s="303"/>
      <c r="H6" s="253"/>
      <c r="I6" s="303"/>
      <c r="J6" s="92" t="s">
        <v>143</v>
      </c>
      <c r="K6" s="92" t="s">
        <v>144</v>
      </c>
      <c r="L6" s="303"/>
      <c r="M6" s="118" t="s">
        <v>6</v>
      </c>
      <c r="N6" s="252"/>
      <c r="O6" s="251"/>
      <c r="P6" s="257"/>
      <c r="Q6" s="258"/>
      <c r="R6" s="258"/>
      <c r="S6" s="259"/>
      <c r="T6" s="117" t="s">
        <v>26</v>
      </c>
      <c r="U6" s="117" t="s">
        <v>22</v>
      </c>
      <c r="V6" s="117" t="s">
        <v>145</v>
      </c>
      <c r="W6" s="117" t="s">
        <v>68</v>
      </c>
    </row>
    <row r="7" spans="1:23" ht="142.5" customHeight="1" x14ac:dyDescent="0.25">
      <c r="A7" s="114" t="s">
        <v>126</v>
      </c>
      <c r="B7" s="22" t="s">
        <v>165</v>
      </c>
      <c r="C7" s="283" t="s">
        <v>99</v>
      </c>
      <c r="D7" s="284"/>
      <c r="E7" s="104" t="s">
        <v>100</v>
      </c>
      <c r="F7" s="104" t="s">
        <v>166</v>
      </c>
      <c r="G7" s="100">
        <v>3</v>
      </c>
      <c r="H7" s="104" t="s">
        <v>168</v>
      </c>
      <c r="I7" s="100">
        <v>3</v>
      </c>
      <c r="J7" s="104" t="s">
        <v>171</v>
      </c>
      <c r="K7" s="103" t="s">
        <v>170</v>
      </c>
      <c r="L7" s="110">
        <v>2</v>
      </c>
      <c r="M7" s="112">
        <f>G7*I7*L7</f>
        <v>18</v>
      </c>
      <c r="N7" s="35" t="s">
        <v>102</v>
      </c>
      <c r="O7" s="94" t="s">
        <v>103</v>
      </c>
      <c r="P7" s="285" t="s">
        <v>148</v>
      </c>
      <c r="Q7" s="286"/>
      <c r="R7" s="286"/>
      <c r="S7" s="287"/>
      <c r="T7" s="60"/>
      <c r="U7" s="60"/>
      <c r="V7" s="60" t="s">
        <v>231</v>
      </c>
      <c r="W7" s="60"/>
    </row>
    <row r="8" spans="1:23" ht="163.5" customHeight="1" x14ac:dyDescent="0.25">
      <c r="A8" s="305" t="s">
        <v>153</v>
      </c>
      <c r="B8" s="306"/>
      <c r="C8" s="283" t="s">
        <v>154</v>
      </c>
      <c r="D8" s="284"/>
      <c r="E8" s="99" t="s">
        <v>155</v>
      </c>
      <c r="F8" s="99" t="s">
        <v>152</v>
      </c>
      <c r="G8" s="100">
        <v>4</v>
      </c>
      <c r="H8" s="99" t="s">
        <v>206</v>
      </c>
      <c r="I8" s="100">
        <v>2</v>
      </c>
      <c r="J8" s="99" t="s">
        <v>173</v>
      </c>
      <c r="K8" s="102" t="s">
        <v>174</v>
      </c>
      <c r="L8" s="111">
        <v>3</v>
      </c>
      <c r="M8" s="112">
        <f t="shared" ref="M8:M9" si="0">G8*I8*L8</f>
        <v>24</v>
      </c>
      <c r="N8" s="105" t="s">
        <v>192</v>
      </c>
      <c r="O8" s="95" t="s">
        <v>157</v>
      </c>
      <c r="P8" s="285" t="s">
        <v>175</v>
      </c>
      <c r="Q8" s="286"/>
      <c r="R8" s="286"/>
      <c r="S8" s="287"/>
      <c r="T8" s="60" t="s">
        <v>79</v>
      </c>
      <c r="U8" s="60"/>
      <c r="V8" s="155">
        <v>44916</v>
      </c>
      <c r="W8" s="60" t="s">
        <v>80</v>
      </c>
    </row>
    <row r="9" spans="1:23" ht="72" customHeight="1" x14ac:dyDescent="0.25">
      <c r="A9" s="305" t="s">
        <v>185</v>
      </c>
      <c r="B9" s="306"/>
      <c r="C9" s="283" t="s">
        <v>186</v>
      </c>
      <c r="D9" s="284"/>
      <c r="E9" s="99" t="s">
        <v>151</v>
      </c>
      <c r="F9" s="99" t="s">
        <v>196</v>
      </c>
      <c r="G9" s="100">
        <v>4</v>
      </c>
      <c r="H9" s="99" t="s">
        <v>188</v>
      </c>
      <c r="I9" s="101">
        <v>2</v>
      </c>
      <c r="J9" s="99" t="s">
        <v>189</v>
      </c>
      <c r="K9" s="102"/>
      <c r="L9" s="101">
        <v>3</v>
      </c>
      <c r="M9" s="113">
        <f t="shared" si="0"/>
        <v>24</v>
      </c>
      <c r="N9" s="105" t="s">
        <v>236</v>
      </c>
      <c r="O9" s="93" t="s">
        <v>191</v>
      </c>
      <c r="P9" s="285" t="s">
        <v>193</v>
      </c>
      <c r="Q9" s="286"/>
      <c r="R9" s="286"/>
      <c r="S9" s="287"/>
      <c r="T9" s="126" t="s">
        <v>79</v>
      </c>
      <c r="U9" s="126"/>
      <c r="V9" s="127">
        <v>44697</v>
      </c>
      <c r="W9" s="127" t="s">
        <v>80</v>
      </c>
    </row>
    <row r="10" spans="1:23" ht="135" customHeight="1" x14ac:dyDescent="0.25">
      <c r="A10" s="305" t="s">
        <v>197</v>
      </c>
      <c r="B10" s="306"/>
      <c r="C10" s="283" t="s">
        <v>198</v>
      </c>
      <c r="D10" s="284"/>
      <c r="E10" s="99" t="s">
        <v>199</v>
      </c>
      <c r="F10" s="99" t="s">
        <v>196</v>
      </c>
      <c r="G10" s="100">
        <v>4</v>
      </c>
      <c r="H10" s="99" t="s">
        <v>200</v>
      </c>
      <c r="I10" s="101">
        <v>3</v>
      </c>
      <c r="J10" s="99" t="s">
        <v>189</v>
      </c>
      <c r="K10" s="99" t="s">
        <v>189</v>
      </c>
      <c r="L10" s="101">
        <v>3</v>
      </c>
      <c r="M10" s="123">
        <f t="shared" ref="M10" si="1">G10*I10*L10</f>
        <v>36</v>
      </c>
      <c r="N10" s="105" t="s">
        <v>201</v>
      </c>
      <c r="O10" s="93" t="s">
        <v>202</v>
      </c>
      <c r="P10" s="285" t="s">
        <v>203</v>
      </c>
      <c r="Q10" s="286"/>
      <c r="R10" s="286"/>
      <c r="S10" s="287"/>
      <c r="T10" s="126" t="s">
        <v>79</v>
      </c>
      <c r="U10" s="126"/>
      <c r="V10" s="127">
        <v>44901</v>
      </c>
      <c r="W10" s="127" t="s">
        <v>80</v>
      </c>
    </row>
    <row r="11" spans="1:23" ht="31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9.5" customHeight="1" x14ac:dyDescent="0.25">
      <c r="A12" s="1"/>
      <c r="B12" s="169" t="s">
        <v>23</v>
      </c>
      <c r="C12" s="169" t="s">
        <v>52</v>
      </c>
      <c r="D12" s="169"/>
      <c r="E12" s="169" t="s">
        <v>69</v>
      </c>
      <c r="F12" s="169"/>
      <c r="G12" s="288" t="s">
        <v>24</v>
      </c>
      <c r="H12" s="288"/>
      <c r="I12" s="288"/>
      <c r="J12" s="172" t="s">
        <v>70</v>
      </c>
      <c r="K12" s="276"/>
      <c r="L12" s="173"/>
      <c r="M12" s="289" t="s">
        <v>14</v>
      </c>
      <c r="N12" s="289"/>
      <c r="O12" s="289"/>
      <c r="P12" s="289"/>
      <c r="S12" s="61"/>
      <c r="T12" s="270"/>
      <c r="U12" s="270"/>
      <c r="V12" s="270"/>
      <c r="W12" s="270"/>
    </row>
    <row r="13" spans="1:23" ht="46.5" customHeight="1" x14ac:dyDescent="0.25">
      <c r="A13" s="1"/>
      <c r="B13" s="169"/>
      <c r="C13" s="62" t="s">
        <v>141</v>
      </c>
      <c r="D13" s="62" t="s">
        <v>142</v>
      </c>
      <c r="E13" s="116" t="s">
        <v>26</v>
      </c>
      <c r="F13" s="116" t="s">
        <v>22</v>
      </c>
      <c r="G13" s="290" t="s">
        <v>1</v>
      </c>
      <c r="H13" s="291"/>
      <c r="I13" s="109" t="s">
        <v>146</v>
      </c>
      <c r="J13" s="277"/>
      <c r="K13" s="278"/>
      <c r="L13" s="279"/>
      <c r="M13" s="121" t="s">
        <v>71</v>
      </c>
      <c r="N13" s="121" t="s">
        <v>72</v>
      </c>
      <c r="O13" s="121" t="s">
        <v>67</v>
      </c>
      <c r="P13" s="121" t="s">
        <v>68</v>
      </c>
      <c r="Q13" s="61"/>
      <c r="S13" s="61"/>
      <c r="T13" s="119"/>
      <c r="U13" s="119"/>
      <c r="V13" s="119"/>
      <c r="W13" s="119"/>
    </row>
    <row r="14" spans="1:23" ht="80.25" customHeight="1" x14ac:dyDescent="0.25">
      <c r="A14" s="1"/>
      <c r="B14" s="99" t="s">
        <v>53</v>
      </c>
      <c r="C14" s="106" t="s">
        <v>54</v>
      </c>
      <c r="D14" s="106"/>
      <c r="E14" s="120" t="s">
        <v>79</v>
      </c>
      <c r="F14" s="120"/>
      <c r="G14" s="283" t="s">
        <v>74</v>
      </c>
      <c r="H14" s="284"/>
      <c r="I14" s="120" t="s">
        <v>163</v>
      </c>
      <c r="J14" s="292" t="s">
        <v>128</v>
      </c>
      <c r="K14" s="293"/>
      <c r="L14" s="294"/>
      <c r="M14" s="31"/>
      <c r="N14" s="65"/>
      <c r="O14" s="33"/>
      <c r="P14" s="66"/>
      <c r="Q14" s="67"/>
      <c r="S14" s="67"/>
      <c r="T14" s="68"/>
      <c r="U14" s="68"/>
      <c r="V14" s="68"/>
      <c r="W14" s="68"/>
    </row>
  </sheetData>
  <mergeCells count="39">
    <mergeCell ref="B2:D2"/>
    <mergeCell ref="E2:T2"/>
    <mergeCell ref="U2:W2"/>
    <mergeCell ref="S3:W3"/>
    <mergeCell ref="N4:O4"/>
    <mergeCell ref="P4:W4"/>
    <mergeCell ref="T5:W5"/>
    <mergeCell ref="A5:B6"/>
    <mergeCell ref="C5:D6"/>
    <mergeCell ref="E5:F5"/>
    <mergeCell ref="G5:G6"/>
    <mergeCell ref="H5:H6"/>
    <mergeCell ref="I5:I6"/>
    <mergeCell ref="J5:K5"/>
    <mergeCell ref="L5:L6"/>
    <mergeCell ref="N5:N6"/>
    <mergeCell ref="O5:O6"/>
    <mergeCell ref="P5:S6"/>
    <mergeCell ref="C7:D7"/>
    <mergeCell ref="P7:S7"/>
    <mergeCell ref="A8:B8"/>
    <mergeCell ref="C8:D8"/>
    <mergeCell ref="P8:S8"/>
    <mergeCell ref="T12:W12"/>
    <mergeCell ref="G13:H13"/>
    <mergeCell ref="G14:H14"/>
    <mergeCell ref="J14:L14"/>
    <mergeCell ref="A9:B9"/>
    <mergeCell ref="C9:D9"/>
    <mergeCell ref="P9:S9"/>
    <mergeCell ref="B12:B13"/>
    <mergeCell ref="C12:D12"/>
    <mergeCell ref="E12:F12"/>
    <mergeCell ref="G12:I12"/>
    <mergeCell ref="J12:L13"/>
    <mergeCell ref="M12:P12"/>
    <mergeCell ref="A10:B10"/>
    <mergeCell ref="C10:D10"/>
    <mergeCell ref="P10:S10"/>
  </mergeCells>
  <pageMargins left="0.7" right="0.7" top="0.75" bottom="0.75" header="0.3" footer="0.3"/>
  <pageSetup paperSize="9" scale="3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5"/>
  <sheetViews>
    <sheetView tabSelected="1" view="pageBreakPreview" zoomScale="55" zoomScaleNormal="71" zoomScaleSheetLayoutView="55" workbookViewId="0">
      <selection activeCell="P9" sqref="P9:S9"/>
    </sheetView>
  </sheetViews>
  <sheetFormatPr baseColWidth="10" defaultRowHeight="15" x14ac:dyDescent="0.25"/>
  <cols>
    <col min="2" max="2" width="29" customWidth="1"/>
    <col min="3" max="3" width="34.85546875" customWidth="1"/>
    <col min="4" max="4" width="17" customWidth="1"/>
    <col min="5" max="5" width="25.42578125" customWidth="1"/>
    <col min="6" max="6" width="18.85546875" customWidth="1"/>
    <col min="7" max="7" width="12.7109375" customWidth="1"/>
    <col min="8" max="8" width="31" customWidth="1"/>
    <col min="9" max="9" width="21.7109375" customWidth="1"/>
    <col min="10" max="10" width="24.42578125" customWidth="1"/>
    <col min="11" max="11" width="23.42578125" customWidth="1"/>
    <col min="12" max="12" width="22.140625" customWidth="1"/>
    <col min="13" max="13" width="20" customWidth="1"/>
    <col min="14" max="14" width="42.140625" customWidth="1"/>
    <col min="15" max="15" width="21.5703125" customWidth="1"/>
    <col min="21" max="21" width="8.28515625" customWidth="1"/>
    <col min="22" max="22" width="14.42578125" customWidth="1"/>
    <col min="23" max="23" width="14.85546875" bestFit="1" customWidth="1"/>
  </cols>
  <sheetData>
    <row r="2" spans="1:23" ht="93.75" customHeight="1" x14ac:dyDescent="0.25">
      <c r="A2" s="1"/>
      <c r="B2" s="311" t="s">
        <v>181</v>
      </c>
      <c r="C2" s="311"/>
      <c r="D2" s="311"/>
      <c r="E2" s="312" t="s">
        <v>225</v>
      </c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15" t="s">
        <v>132</v>
      </c>
      <c r="V2" s="316"/>
      <c r="W2" s="317"/>
    </row>
    <row r="3" spans="1:23" ht="45" customHeight="1" x14ac:dyDescent="0.25">
      <c r="A3" s="1"/>
      <c r="B3" s="98" t="s">
        <v>10</v>
      </c>
      <c r="C3" s="98"/>
      <c r="D3" s="98"/>
      <c r="E3" s="98"/>
      <c r="F3" s="54"/>
      <c r="G3" s="54"/>
      <c r="H3" s="54"/>
      <c r="I3" s="54"/>
      <c r="J3" s="54"/>
      <c r="K3" s="54"/>
      <c r="L3" s="54"/>
      <c r="M3" s="54"/>
      <c r="N3" s="3"/>
      <c r="O3" s="4"/>
      <c r="P3" s="5"/>
      <c r="Q3" s="5"/>
      <c r="R3" s="5"/>
      <c r="S3" s="318" t="s">
        <v>238</v>
      </c>
      <c r="T3" s="318"/>
      <c r="U3" s="318"/>
      <c r="V3" s="318"/>
      <c r="W3" s="318"/>
    </row>
    <row r="4" spans="1:23" ht="41.25" customHeight="1" x14ac:dyDescent="0.25">
      <c r="A4" s="1"/>
      <c r="B4" s="96" t="s">
        <v>237</v>
      </c>
      <c r="C4" s="96"/>
      <c r="D4" s="96"/>
      <c r="E4" s="97"/>
      <c r="F4" s="55"/>
      <c r="G4" s="55"/>
      <c r="H4" s="55"/>
      <c r="I4" s="55"/>
      <c r="J4" s="55"/>
      <c r="K4" s="55"/>
      <c r="L4" s="55"/>
      <c r="M4" s="55"/>
      <c r="N4" s="319" t="s">
        <v>24</v>
      </c>
      <c r="O4" s="320"/>
      <c r="P4" s="321" t="s">
        <v>134</v>
      </c>
      <c r="Q4" s="322"/>
      <c r="R4" s="322"/>
      <c r="S4" s="322"/>
      <c r="T4" s="322"/>
      <c r="U4" s="322"/>
      <c r="V4" s="322"/>
      <c r="W4" s="323"/>
    </row>
    <row r="5" spans="1:23" ht="64.5" customHeight="1" x14ac:dyDescent="0.25">
      <c r="A5" s="289" t="s">
        <v>135</v>
      </c>
      <c r="B5" s="289"/>
      <c r="C5" s="327" t="s">
        <v>0</v>
      </c>
      <c r="D5" s="328"/>
      <c r="E5" s="324" t="s">
        <v>41</v>
      </c>
      <c r="F5" s="326"/>
      <c r="G5" s="331" t="s">
        <v>136</v>
      </c>
      <c r="H5" s="289" t="s">
        <v>167</v>
      </c>
      <c r="I5" s="331" t="s">
        <v>137</v>
      </c>
      <c r="J5" s="324" t="s">
        <v>138</v>
      </c>
      <c r="K5" s="326"/>
      <c r="L5" s="331" t="s">
        <v>139</v>
      </c>
      <c r="M5" s="134" t="s">
        <v>140</v>
      </c>
      <c r="N5" s="331" t="s">
        <v>1</v>
      </c>
      <c r="O5" s="289" t="s">
        <v>2</v>
      </c>
      <c r="P5" s="327" t="s">
        <v>214</v>
      </c>
      <c r="Q5" s="336"/>
      <c r="R5" s="336"/>
      <c r="S5" s="328"/>
      <c r="T5" s="324" t="s">
        <v>14</v>
      </c>
      <c r="U5" s="325"/>
      <c r="V5" s="325"/>
      <c r="W5" s="326"/>
    </row>
    <row r="6" spans="1:23" ht="70.5" customHeight="1" x14ac:dyDescent="0.25">
      <c r="A6" s="289"/>
      <c r="B6" s="289"/>
      <c r="C6" s="329"/>
      <c r="D6" s="330"/>
      <c r="E6" s="135" t="s">
        <v>141</v>
      </c>
      <c r="F6" s="135" t="s">
        <v>142</v>
      </c>
      <c r="G6" s="332"/>
      <c r="H6" s="289"/>
      <c r="I6" s="332"/>
      <c r="J6" s="136" t="s">
        <v>143</v>
      </c>
      <c r="K6" s="136" t="s">
        <v>144</v>
      </c>
      <c r="L6" s="332"/>
      <c r="M6" s="137" t="s">
        <v>6</v>
      </c>
      <c r="N6" s="335"/>
      <c r="O6" s="331"/>
      <c r="P6" s="329"/>
      <c r="Q6" s="337"/>
      <c r="R6" s="337"/>
      <c r="S6" s="330"/>
      <c r="T6" s="134" t="s">
        <v>26</v>
      </c>
      <c r="U6" s="134" t="s">
        <v>22</v>
      </c>
      <c r="V6" s="134" t="s">
        <v>67</v>
      </c>
      <c r="W6" s="134" t="s">
        <v>68</v>
      </c>
    </row>
    <row r="7" spans="1:23" ht="173.25" customHeight="1" x14ac:dyDescent="0.25">
      <c r="A7" s="114" t="s">
        <v>126</v>
      </c>
      <c r="B7" s="138" t="s">
        <v>165</v>
      </c>
      <c r="C7" s="333" t="s">
        <v>99</v>
      </c>
      <c r="D7" s="333"/>
      <c r="E7" s="139" t="s">
        <v>100</v>
      </c>
      <c r="F7" s="139" t="s">
        <v>166</v>
      </c>
      <c r="G7" s="100">
        <v>3</v>
      </c>
      <c r="H7" s="139" t="s">
        <v>215</v>
      </c>
      <c r="I7" s="100">
        <v>3</v>
      </c>
      <c r="J7" s="139" t="s">
        <v>216</v>
      </c>
      <c r="K7" s="140" t="s">
        <v>170</v>
      </c>
      <c r="L7" s="103">
        <v>2</v>
      </c>
      <c r="M7" s="151">
        <f>G7*I7*L7</f>
        <v>18</v>
      </c>
      <c r="N7" s="141" t="s">
        <v>217</v>
      </c>
      <c r="O7" s="124" t="s">
        <v>103</v>
      </c>
      <c r="P7" s="334" t="s">
        <v>148</v>
      </c>
      <c r="Q7" s="334"/>
      <c r="R7" s="334"/>
      <c r="S7" s="334"/>
      <c r="T7" s="85"/>
      <c r="U7" s="85"/>
      <c r="V7" s="85"/>
      <c r="W7" s="85"/>
    </row>
    <row r="8" spans="1:23" ht="173.25" customHeight="1" x14ac:dyDescent="0.25">
      <c r="A8" s="363" t="s">
        <v>239</v>
      </c>
      <c r="B8" s="364"/>
      <c r="C8" s="365" t="s">
        <v>240</v>
      </c>
      <c r="D8" s="366"/>
      <c r="E8" s="158" t="s">
        <v>241</v>
      </c>
      <c r="F8" s="158" t="s">
        <v>242</v>
      </c>
      <c r="G8" s="100">
        <v>4</v>
      </c>
      <c r="H8" s="158" t="s">
        <v>243</v>
      </c>
      <c r="I8" s="100">
        <v>2</v>
      </c>
      <c r="J8" s="158" t="s">
        <v>244</v>
      </c>
      <c r="K8" s="140" t="s">
        <v>245</v>
      </c>
      <c r="L8" s="103">
        <v>2</v>
      </c>
      <c r="M8" s="151">
        <f>G8*I8*L8</f>
        <v>16</v>
      </c>
      <c r="N8" s="157" t="s">
        <v>246</v>
      </c>
      <c r="O8" s="156" t="s">
        <v>247</v>
      </c>
      <c r="P8" s="367" t="s">
        <v>248</v>
      </c>
      <c r="Q8" s="368"/>
      <c r="R8" s="368"/>
      <c r="S8" s="369"/>
      <c r="T8" s="85"/>
      <c r="U8" s="85"/>
      <c r="V8" s="85"/>
      <c r="W8" s="85"/>
    </row>
    <row r="9" spans="1:23" ht="171.75" customHeight="1" x14ac:dyDescent="0.25">
      <c r="A9" s="357" t="s">
        <v>207</v>
      </c>
      <c r="B9" s="358"/>
      <c r="C9" s="341" t="s">
        <v>226</v>
      </c>
      <c r="D9" s="342"/>
      <c r="E9" s="139" t="s">
        <v>227</v>
      </c>
      <c r="F9" s="139" t="s">
        <v>166</v>
      </c>
      <c r="G9" s="100">
        <v>3</v>
      </c>
      <c r="H9" s="139" t="s">
        <v>228</v>
      </c>
      <c r="I9" s="100">
        <v>3</v>
      </c>
      <c r="J9" s="139" t="s">
        <v>235</v>
      </c>
      <c r="K9" s="140" t="s">
        <v>234</v>
      </c>
      <c r="L9" s="103">
        <v>3</v>
      </c>
      <c r="M9" s="151">
        <v>27</v>
      </c>
      <c r="N9" s="150" t="s">
        <v>233</v>
      </c>
      <c r="O9" s="148" t="s">
        <v>232</v>
      </c>
      <c r="P9" s="343" t="s">
        <v>230</v>
      </c>
      <c r="Q9" s="344"/>
      <c r="R9" s="344"/>
      <c r="S9" s="345"/>
      <c r="T9" s="85"/>
      <c r="U9" s="85"/>
      <c r="V9" s="85"/>
      <c r="W9" s="85"/>
    </row>
    <row r="10" spans="1:23" ht="197.25" customHeight="1" x14ac:dyDescent="0.25">
      <c r="A10" s="359"/>
      <c r="B10" s="360"/>
      <c r="C10" s="341" t="s">
        <v>208</v>
      </c>
      <c r="D10" s="342"/>
      <c r="E10" s="139" t="s">
        <v>209</v>
      </c>
      <c r="F10" s="139" t="s">
        <v>218</v>
      </c>
      <c r="G10" s="142">
        <v>3</v>
      </c>
      <c r="H10" s="139" t="s">
        <v>210</v>
      </c>
      <c r="I10" s="100">
        <v>2</v>
      </c>
      <c r="J10" s="139" t="s">
        <v>211</v>
      </c>
      <c r="K10" s="140" t="s">
        <v>219</v>
      </c>
      <c r="L10" s="103">
        <v>3</v>
      </c>
      <c r="M10" s="151">
        <f>G10*I10*L10</f>
        <v>18</v>
      </c>
      <c r="N10" s="141" t="s">
        <v>220</v>
      </c>
      <c r="O10" s="124" t="s">
        <v>103</v>
      </c>
      <c r="P10" s="343" t="s">
        <v>212</v>
      </c>
      <c r="Q10" s="344"/>
      <c r="R10" s="344"/>
      <c r="S10" s="345"/>
      <c r="T10" s="85"/>
      <c r="U10" s="85"/>
      <c r="V10" s="85"/>
      <c r="W10" s="85"/>
    </row>
    <row r="11" spans="1:23" ht="31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75.75" customHeight="1" x14ac:dyDescent="0.25">
      <c r="A12" s="1"/>
      <c r="B12" s="349" t="s">
        <v>23</v>
      </c>
      <c r="C12" s="349" t="s">
        <v>52</v>
      </c>
      <c r="D12" s="349"/>
      <c r="E12" s="349" t="s">
        <v>69</v>
      </c>
      <c r="F12" s="349"/>
      <c r="G12" s="349" t="s">
        <v>24</v>
      </c>
      <c r="H12" s="349"/>
      <c r="I12" s="349"/>
      <c r="J12" s="350" t="s">
        <v>70</v>
      </c>
      <c r="K12" s="351"/>
      <c r="L12" s="352"/>
      <c r="M12" s="356" t="s">
        <v>14</v>
      </c>
      <c r="N12" s="356"/>
      <c r="O12" s="356"/>
      <c r="P12" s="356"/>
      <c r="S12" s="61"/>
      <c r="T12" s="270"/>
      <c r="U12" s="270"/>
      <c r="V12" s="270"/>
      <c r="W12" s="270"/>
    </row>
    <row r="13" spans="1:23" ht="64.5" customHeight="1" x14ac:dyDescent="0.25">
      <c r="A13" s="1"/>
      <c r="B13" s="349"/>
      <c r="C13" s="144" t="s">
        <v>141</v>
      </c>
      <c r="D13" s="144" t="s">
        <v>142</v>
      </c>
      <c r="E13" s="145" t="s">
        <v>26</v>
      </c>
      <c r="F13" s="145" t="s">
        <v>22</v>
      </c>
      <c r="G13" s="361" t="s">
        <v>1</v>
      </c>
      <c r="H13" s="362"/>
      <c r="I13" s="146" t="s">
        <v>146</v>
      </c>
      <c r="J13" s="353"/>
      <c r="K13" s="354"/>
      <c r="L13" s="355"/>
      <c r="M13" s="147" t="s">
        <v>71</v>
      </c>
      <c r="N13" s="147" t="s">
        <v>72</v>
      </c>
      <c r="O13" s="147" t="s">
        <v>67</v>
      </c>
      <c r="P13" s="147" t="s">
        <v>68</v>
      </c>
      <c r="Q13" s="61"/>
      <c r="S13" s="61"/>
      <c r="T13" s="125"/>
      <c r="U13" s="125"/>
      <c r="V13" s="125"/>
      <c r="W13" s="125"/>
    </row>
    <row r="14" spans="1:23" ht="156.75" customHeight="1" x14ac:dyDescent="0.25">
      <c r="A14" s="1"/>
      <c r="B14" s="143" t="s">
        <v>229</v>
      </c>
      <c r="C14" s="152" t="s">
        <v>221</v>
      </c>
      <c r="D14" s="153" t="s">
        <v>222</v>
      </c>
      <c r="E14" s="129" t="s">
        <v>79</v>
      </c>
      <c r="F14" s="130"/>
      <c r="G14" s="346" t="s">
        <v>223</v>
      </c>
      <c r="H14" s="348"/>
      <c r="I14" s="149" t="s">
        <v>103</v>
      </c>
      <c r="J14" s="346" t="s">
        <v>224</v>
      </c>
      <c r="K14" s="347"/>
      <c r="L14" s="348"/>
      <c r="M14" s="128"/>
      <c r="N14" s="128"/>
      <c r="O14" s="128"/>
      <c r="P14" s="128"/>
      <c r="Q14" s="61"/>
      <c r="S14" s="61"/>
      <c r="T14" s="125"/>
      <c r="U14" s="125"/>
      <c r="V14" s="125"/>
      <c r="W14" s="125"/>
    </row>
    <row r="15" spans="1:23" ht="120.75" customHeight="1" x14ac:dyDescent="0.25">
      <c r="A15" s="1"/>
      <c r="B15" s="143" t="s">
        <v>53</v>
      </c>
      <c r="C15" s="152" t="s">
        <v>54</v>
      </c>
      <c r="D15" s="154"/>
      <c r="E15" s="132" t="s">
        <v>79</v>
      </c>
      <c r="F15" s="131"/>
      <c r="G15" s="338" t="s">
        <v>213</v>
      </c>
      <c r="H15" s="339"/>
      <c r="I15" s="133" t="s">
        <v>163</v>
      </c>
      <c r="J15" s="338" t="s">
        <v>128</v>
      </c>
      <c r="K15" s="340"/>
      <c r="L15" s="339"/>
      <c r="M15" s="31"/>
      <c r="N15" s="65"/>
      <c r="O15" s="33"/>
      <c r="P15" s="66"/>
      <c r="Q15" s="67"/>
      <c r="S15" s="67"/>
      <c r="T15" s="68"/>
      <c r="U15" s="68"/>
      <c r="V15" s="68"/>
      <c r="W15" s="68"/>
    </row>
  </sheetData>
  <mergeCells count="40">
    <mergeCell ref="A8:B8"/>
    <mergeCell ref="C8:D8"/>
    <mergeCell ref="P8:S8"/>
    <mergeCell ref="C9:D9"/>
    <mergeCell ref="A9:B10"/>
    <mergeCell ref="P9:S9"/>
    <mergeCell ref="T12:W12"/>
    <mergeCell ref="G13:H13"/>
    <mergeCell ref="B12:B13"/>
    <mergeCell ref="G15:H15"/>
    <mergeCell ref="J15:L15"/>
    <mergeCell ref="C10:D10"/>
    <mergeCell ref="P10:S10"/>
    <mergeCell ref="J14:L14"/>
    <mergeCell ref="G14:H14"/>
    <mergeCell ref="C12:D12"/>
    <mergeCell ref="E12:F12"/>
    <mergeCell ref="G12:I12"/>
    <mergeCell ref="J12:L13"/>
    <mergeCell ref="M12:P12"/>
    <mergeCell ref="C7:D7"/>
    <mergeCell ref="P7:S7"/>
    <mergeCell ref="J5:K5"/>
    <mergeCell ref="L5:L6"/>
    <mergeCell ref="N5:N6"/>
    <mergeCell ref="O5:O6"/>
    <mergeCell ref="P5:S6"/>
    <mergeCell ref="T5:W5"/>
    <mergeCell ref="A5:B6"/>
    <mergeCell ref="C5:D6"/>
    <mergeCell ref="E5:F5"/>
    <mergeCell ref="G5:G6"/>
    <mergeCell ref="H5:H6"/>
    <mergeCell ref="I5:I6"/>
    <mergeCell ref="B2:D2"/>
    <mergeCell ref="E2:T2"/>
    <mergeCell ref="U2:W2"/>
    <mergeCell ref="S3:W3"/>
    <mergeCell ref="N4:O4"/>
    <mergeCell ref="P4:W4"/>
  </mergeCells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Fiche d'analyse de Risque 18</vt:lpstr>
      <vt:lpstr>Fiche d'analyse de risque 19</vt:lpstr>
      <vt:lpstr>Fiche d'analyse de Risque 20</vt:lpstr>
      <vt:lpstr>Fiche d'analyse de Risque 21</vt:lpstr>
      <vt:lpstr>Fiche d'analyse de Risque 2022</vt:lpstr>
      <vt:lpstr>Fiche d'analyse de Risque 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Sami BERDAOUI</cp:lastModifiedBy>
  <cp:lastPrinted>2023-04-04T12:43:51Z</cp:lastPrinted>
  <dcterms:created xsi:type="dcterms:W3CDTF">2016-03-11T07:17:14Z</dcterms:created>
  <dcterms:modified xsi:type="dcterms:W3CDTF">2023-06-08T14:04:26Z</dcterms:modified>
</cp:coreProperties>
</file>