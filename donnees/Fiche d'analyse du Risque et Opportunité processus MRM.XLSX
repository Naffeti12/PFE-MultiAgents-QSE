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rdaoui\Desktop\Resultat Qualité -Astuplast\Systéme documentaire\Fiches d'analyse de risque\"/>
    </mc:Choice>
  </mc:AlternateContent>
  <bookViews>
    <workbookView xWindow="0" yWindow="0" windowWidth="17520" windowHeight="7230" firstSheet="2" activeTab="4"/>
  </bookViews>
  <sheets>
    <sheet name="Fiche d'analyse de Risque 18" sheetId="2" r:id="rId1"/>
    <sheet name="Fiche d'analyse de Risque 19" sheetId="3" r:id="rId2"/>
    <sheet name="Fiche d'analyse de risque 20" sheetId="6" r:id="rId3"/>
    <sheet name="Fiche d'analyse de risque 21" sheetId="7" r:id="rId4"/>
    <sheet name="Fiche d'analyse de risque 22" sheetId="8" r:id="rId5"/>
    <sheet name="Fiche d'analyse de risque 23" sheetId="9" r:id="rId6"/>
  </sheets>
  <calcPr calcId="152511"/>
</workbook>
</file>

<file path=xl/calcChain.xml><?xml version="1.0" encoding="utf-8"?>
<calcChain xmlns="http://schemas.openxmlformats.org/spreadsheetml/2006/main">
  <c r="M7" i="6" l="1"/>
  <c r="M6" i="6"/>
</calcChain>
</file>

<file path=xl/sharedStrings.xml><?xml version="1.0" encoding="utf-8"?>
<sst xmlns="http://schemas.openxmlformats.org/spreadsheetml/2006/main" count="528" uniqueCount="171">
  <si>
    <t>Risques</t>
  </si>
  <si>
    <t xml:space="preserve">Bref descriptif de l'action </t>
  </si>
  <si>
    <t>Responsable</t>
  </si>
  <si>
    <t>G</t>
  </si>
  <si>
    <t>O</t>
  </si>
  <si>
    <t>D</t>
  </si>
  <si>
    <t>IPR</t>
  </si>
  <si>
    <t xml:space="preserve">Mettre en place la méthode 5S </t>
  </si>
  <si>
    <t>Processus :  Management des Ressources Matérielles</t>
  </si>
  <si>
    <t xml:space="preserve">Evaluation De Risque </t>
  </si>
  <si>
    <t>Efficacité D'action</t>
  </si>
  <si>
    <t>Evaluation de l'action</t>
  </si>
  <si>
    <t>Actions à mettre  en œuvre ( voir détails au PAP)</t>
  </si>
  <si>
    <t>OUI</t>
  </si>
  <si>
    <t xml:space="preserve">Pilote Processus : Imed.Maatallah </t>
  </si>
  <si>
    <t>R.Abassi</t>
  </si>
  <si>
    <t xml:space="preserve"> Analyse des OPPORTUNITES : </t>
  </si>
  <si>
    <t>Actions à mettre en œuvre (voir détails au PAP)</t>
  </si>
  <si>
    <t>Brève description de l'action</t>
  </si>
  <si>
    <t>NON</t>
  </si>
  <si>
    <t xml:space="preserve">Le besoin  en Matérielle se fait en même temps pour les differents services </t>
  </si>
  <si>
    <t>depassement de budget</t>
  </si>
  <si>
    <t xml:space="preserve">commande n'est pas bien renseignée </t>
  </si>
  <si>
    <t xml:space="preserve">Mauvais choix de fournisseur </t>
  </si>
  <si>
    <t>S.Bardaoui</t>
  </si>
  <si>
    <t>I.Maatallah</t>
  </si>
  <si>
    <t>Vérification avec la Direction pour validation de manière hebdomadaire</t>
  </si>
  <si>
    <t>F.Martin</t>
  </si>
  <si>
    <t xml:space="preserve">Diagnostique de panne n'est pas éfficace </t>
  </si>
  <si>
    <t xml:space="preserve">Formation  l'équipe de maintenance sur la gestion de panne </t>
  </si>
  <si>
    <t>Manque de coordination entre les différentes structures</t>
  </si>
  <si>
    <t>Suivi de budget de manière rigoureuse et mensuelle pour mieux valider  le besoin avant l'achat</t>
  </si>
  <si>
    <t>Mauvaise définition des besoins réels 
Absence de suivi des achats</t>
  </si>
  <si>
    <t>* Manque de qualification de la personne ayant fait l'achat
* Absence de cordination entre le demandeur et l'acheteur</t>
  </si>
  <si>
    <t xml:space="preserve">* Mettre à jour la liste de prestataires de services retenue 
* Qualifier la personne adéquate pour la réalisation des achats qui necessitent une technicité précise 
* Apposer le visa du demandeur sur la demande d'achat
</t>
  </si>
  <si>
    <t>Equipe de maintenance non sensiblisée à la procédure de validation de l'équipement</t>
  </si>
  <si>
    <t>Manque de compétence en matière de maintenance</t>
  </si>
  <si>
    <r>
      <t xml:space="preserve">Groupe APSYS Industries                                                                    </t>
    </r>
    <r>
      <rPr>
        <b/>
        <i/>
        <sz val="10"/>
        <rFont val="Times New Roman"/>
        <family val="1"/>
      </rPr>
      <t xml:space="preserve">Division :  ASTUPLAST </t>
    </r>
    <r>
      <rPr>
        <b/>
        <i/>
        <sz val="11"/>
        <rFont val="Times New Roman"/>
        <family val="1"/>
      </rPr>
      <t xml:space="preserve">        </t>
    </r>
  </si>
  <si>
    <t>Non respect de la procédure : problème de validation</t>
  </si>
  <si>
    <t>Sensibiliser l'équipe de maintenance aux diffrentes procédures de la fonction de maintenance</t>
  </si>
  <si>
    <t>Hiérarchisation des priorités des besoins des différentes structures</t>
  </si>
  <si>
    <t xml:space="preserve">Impact de Risque </t>
  </si>
  <si>
    <t xml:space="preserve">Impact des Opportunités </t>
  </si>
  <si>
    <t>Causes probables 5M - Main d'œuvre - Moyens - Milieu - Matière - Méthodes</t>
  </si>
  <si>
    <t xml:space="preserve">Perturbation le suivi d'achat </t>
  </si>
  <si>
    <t>Consomation tous le budget  qui sert pour le service maintenance</t>
  </si>
  <si>
    <t>Perturbation production</t>
  </si>
  <si>
    <t xml:space="preserve">Retard  sur le delai de commande </t>
  </si>
  <si>
    <t>Flux de maintenance</t>
  </si>
  <si>
    <t>Critéres d'Evaluation de l'éfficacité des actions</t>
  </si>
  <si>
    <t>Non</t>
  </si>
  <si>
    <t>Oui</t>
  </si>
  <si>
    <t>Imprimée n° AST PRQ 01.17-01 B</t>
  </si>
  <si>
    <t>Fiche Processus</t>
  </si>
  <si>
    <r>
      <rPr>
        <b/>
        <u/>
        <sz val="12"/>
        <rFont val="Times New Roman"/>
        <family val="1"/>
      </rPr>
      <t xml:space="preserve">Activité4: </t>
    </r>
    <r>
      <rPr>
        <sz val="12"/>
        <rFont val="Times New Roman"/>
        <family val="1"/>
      </rPr>
      <t>approbation du matériel; mise en service+identification</t>
    </r>
  </si>
  <si>
    <r>
      <rPr>
        <b/>
        <u/>
        <sz val="12"/>
        <rFont val="Times New Roman"/>
        <family val="1"/>
      </rPr>
      <t>Activité5:</t>
    </r>
    <r>
      <rPr>
        <sz val="12"/>
        <rFont val="Times New Roman"/>
        <family val="1"/>
      </rPr>
      <t xml:space="preserve"> Suivi et maintenance</t>
    </r>
  </si>
  <si>
    <r>
      <rPr>
        <b/>
        <u/>
        <sz val="12"/>
        <rFont val="Times New Roman"/>
        <family val="1"/>
      </rPr>
      <t>Activité3:</t>
    </r>
    <r>
      <rPr>
        <sz val="12"/>
        <rFont val="Times New Roman"/>
        <family val="1"/>
      </rPr>
      <t xml:space="preserve"> Investissement (Achat)du matériel correspondant au besoin</t>
    </r>
  </si>
  <si>
    <r>
      <rPr>
        <b/>
        <u/>
        <sz val="12"/>
        <rFont val="Times New Roman"/>
        <family val="1"/>
      </rPr>
      <t>Activité 2:</t>
    </r>
    <r>
      <rPr>
        <sz val="12"/>
        <rFont val="Times New Roman"/>
        <family val="1"/>
      </rPr>
      <t xml:space="preserve"> Validation du besoin</t>
    </r>
  </si>
  <si>
    <r>
      <rPr>
        <b/>
        <u/>
        <sz val="12"/>
        <rFont val="Times New Roman"/>
        <family val="1"/>
      </rPr>
      <t>Activité1:</t>
    </r>
    <r>
      <rPr>
        <sz val="12"/>
        <rFont val="Times New Roman"/>
        <family val="1"/>
      </rPr>
      <t xml:space="preserve"> Demande/ proposition ou nécessité d'un besoin</t>
    </r>
  </si>
  <si>
    <t>Origine de L'action</t>
  </si>
  <si>
    <t>Situation d'urgence</t>
  </si>
  <si>
    <t xml:space="preserve">Panne de  Moyen  de Fabrication </t>
  </si>
  <si>
    <t xml:space="preserve">Suivi non Réguliére  </t>
  </si>
  <si>
    <t>Date de Clôture</t>
  </si>
  <si>
    <t>Visa</t>
  </si>
  <si>
    <t>Retenu</t>
  </si>
  <si>
    <t>Critères d'évaluation de l'efficacité des actions</t>
  </si>
  <si>
    <t>EFFICACITE D'ACTION</t>
  </si>
  <si>
    <t>X</t>
  </si>
  <si>
    <t xml:space="preserve">Améliorer la structure de l'atelier maintenance </t>
  </si>
  <si>
    <t xml:space="preserve">_les demandes d'achat sont  bien maitraisés (  priorité) </t>
  </si>
  <si>
    <t>x</t>
  </si>
  <si>
    <t>Date de MAJ  :  04/12/2018</t>
  </si>
  <si>
    <t>SB</t>
  </si>
  <si>
    <t xml:space="preserve">_ Maitraise de  suivi des coûts   // l'objectif </t>
  </si>
  <si>
    <t>La méthode de validation ne se fait pas clairement en interne</t>
  </si>
  <si>
    <t>_ Les commandes d'achat sont bien traités</t>
  </si>
  <si>
    <t xml:space="preserve">le mode des interventions </t>
  </si>
  <si>
    <t>_ Les fiches d'approbation sont bien maitraisés pour les nouveaux équipements reçue</t>
  </si>
  <si>
    <t>_ l'objectif de  la formation est  bien démontré                _ Meilleur gestion et reduction des pannes</t>
  </si>
  <si>
    <t xml:space="preserve">Améliorer  les instructions preventive </t>
  </si>
  <si>
    <t>_ Pas d'arrêt  long de production</t>
  </si>
  <si>
    <t>_Methode de 05S bien impliqué dans de maintenance</t>
  </si>
  <si>
    <t xml:space="preserve">Reparation insuffisante ou non finalisé </t>
  </si>
  <si>
    <t xml:space="preserve">Absence de  piéce de réchange ou bien temps pour réparation  insuffisant </t>
  </si>
  <si>
    <t xml:space="preserve">Amelioration l'etude nécessaire  avant chaque intervention </t>
  </si>
  <si>
    <t xml:space="preserve">_ Pas d'arrêt non planifiés des Equipements  </t>
  </si>
  <si>
    <t xml:space="preserve">Formation de sécurité </t>
  </si>
  <si>
    <t xml:space="preserve">Intervention menée de facon dangéreuse </t>
  </si>
  <si>
    <t xml:space="preserve">Non Respect  de Regle De securité </t>
  </si>
  <si>
    <t>Vie de personnel ( accident…ect)</t>
  </si>
  <si>
    <t xml:space="preserve">Mettre et  finir tous les consignes de securité des équipements </t>
  </si>
  <si>
    <t xml:space="preserve">_ Absence des accidents graves </t>
  </si>
  <si>
    <t xml:space="preserve">Fiabilité de parc machine </t>
  </si>
  <si>
    <t xml:space="preserve">Panne  Equipement  </t>
  </si>
  <si>
    <t>_ l'objectif de  la formation est  bien démontré                                                   _ Meilleur gestion et reduction des pannes</t>
  </si>
  <si>
    <t xml:space="preserve">Fiche processus  </t>
  </si>
  <si>
    <t>Date de MAJ  :  18/01/2019</t>
  </si>
  <si>
    <t>Reporté en 2019</t>
  </si>
  <si>
    <t xml:space="preserve">Fiche processus </t>
  </si>
  <si>
    <t>Reporté en 2020</t>
  </si>
  <si>
    <t xml:space="preserve">Formation de 5S : Améliorer la structure de l'atelier maintenance </t>
  </si>
  <si>
    <r>
      <t xml:space="preserve">Groupe APSYS Industries                                                                     </t>
    </r>
    <r>
      <rPr>
        <b/>
        <i/>
        <sz val="10"/>
        <rFont val="Arial"/>
        <family val="2"/>
      </rPr>
      <t xml:space="preserve">Division :  ASTUPLAST </t>
    </r>
    <r>
      <rPr>
        <b/>
        <i/>
        <sz val="11"/>
        <rFont val="Arial"/>
        <family val="2"/>
      </rPr>
      <t xml:space="preserve">        </t>
    </r>
  </si>
  <si>
    <t>Imprimée n° AST                                                     PRQ 01.17-01 C</t>
  </si>
  <si>
    <t xml:space="preserve">Evaluation de l'action </t>
  </si>
  <si>
    <t>Gravité " G"</t>
  </si>
  <si>
    <t>Occurrence (Fréquence , Probabilité  d'apparition  de la défaillance )    "O"</t>
  </si>
  <si>
    <t xml:space="preserve">Actions Existantes </t>
  </si>
  <si>
    <t>Détectabilité "D"</t>
  </si>
  <si>
    <t>Evaluation du Risque</t>
  </si>
  <si>
    <t xml:space="preserve">Interne </t>
  </si>
  <si>
    <t xml:space="preserve">Externe </t>
  </si>
  <si>
    <t xml:space="preserve">Occurrence </t>
  </si>
  <si>
    <t>Détections</t>
  </si>
  <si>
    <t xml:space="preserve">Responsable </t>
  </si>
  <si>
    <t xml:space="preserve"> Processus : Management des Ressources Matérielles</t>
  </si>
  <si>
    <t>Pilote Processus : Imed.Maatallah</t>
  </si>
  <si>
    <t xml:space="preserve">presse d'injection en panne </t>
  </si>
  <si>
    <t>problème qualité produit                      -productivité décroissante(temps de cycle élevé)</t>
  </si>
  <si>
    <t>usure dans le moule (fatigue)</t>
  </si>
  <si>
    <t>absence des pièces de rechange              -service après-vente (absence se présentant des presses Negri en Tunisie)</t>
  </si>
  <si>
    <t>suivie régulière des presses et planifier des contrôles d'état systématiques avec la maison mère</t>
  </si>
  <si>
    <t xml:space="preserve">Etat dégradé des moules </t>
  </si>
  <si>
    <t>Planifier des mises à niveau pour les veilles moules.Selon notre budget</t>
  </si>
  <si>
    <t>suivie planning moule</t>
  </si>
  <si>
    <t xml:space="preserve">_Absence des pannes non prévue </t>
  </si>
  <si>
    <t xml:space="preserve">les moules sont disponible pour tout les production planifier </t>
  </si>
  <si>
    <t>Date  de Surveillance  : 09/12/2020</t>
  </si>
  <si>
    <t>stock sécurité sur les pièces de rechange (colier de chauffe)                     -suivie la planning de maintenance</t>
  </si>
  <si>
    <t>Entretien systématique de moule                          -Entretien soutretance</t>
  </si>
  <si>
    <t xml:space="preserve">Retard Commande </t>
  </si>
  <si>
    <t xml:space="preserve">arrêt de production non planifier 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</si>
  <si>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               Année : 2020</t>
  </si>
  <si>
    <t>Fiche d'analyse du Risque et Opportunité  Processus                                                                                               Année : 2019</t>
  </si>
  <si>
    <t>Fiche d'analyse du Risque et Opportunité  Processus                                                                                             Année : 2018</t>
  </si>
  <si>
    <t>Fiche d'analyse du Risque et Opportunité  Processus                                                                                                                                                                                                       Année :2021</t>
  </si>
  <si>
    <t>Reporté  pour 05/03/2021</t>
  </si>
  <si>
    <t>Reporté pour 05/06/2021</t>
  </si>
  <si>
    <t xml:space="preserve">Presse d'injection en panne </t>
  </si>
  <si>
    <t xml:space="preserve">Suivie Maintenance </t>
  </si>
  <si>
    <t xml:space="preserve">Date de Clotûre </t>
  </si>
  <si>
    <t>suivie Maintenance</t>
  </si>
  <si>
    <t xml:space="preserve">Planning de maintenance </t>
  </si>
  <si>
    <t>Fiche d'intervention</t>
  </si>
  <si>
    <t>Contrôle visuel</t>
  </si>
  <si>
    <t xml:space="preserve">Reunion </t>
  </si>
  <si>
    <t xml:space="preserve">Groupe APSYS Industries                                                                     Division :  ASTUPLAST         </t>
  </si>
  <si>
    <t>Date  de surveillance  : 25/12/2021</t>
  </si>
  <si>
    <t xml:space="preserve">matrice de compétence </t>
  </si>
  <si>
    <t>absence de main d'œuvre qualifiée</t>
  </si>
  <si>
    <t xml:space="preserve">le responsable technique qui le  remplace </t>
  </si>
  <si>
    <t xml:space="preserve">problème technique </t>
  </si>
  <si>
    <t xml:space="preserve">former les regleurs a la maintenance niveau 2 des presse et périphérique </t>
  </si>
  <si>
    <t xml:space="preserve">préstataire de service </t>
  </si>
  <si>
    <t>l'intervenant est occupée avec un autre client</t>
  </si>
  <si>
    <t xml:space="preserve">Absence de technicien de maintenance </t>
  </si>
  <si>
    <t>Préstataire de service non disponible (problème comprésseur a vis….)</t>
  </si>
  <si>
    <t>arrêt de machine (panne)</t>
  </si>
  <si>
    <t>arrêt de la machine pour une duré non determinée</t>
  </si>
  <si>
    <t>problème qualité produit                      -productivité décroissante( temps de cycle élevé)</t>
  </si>
  <si>
    <t>Liste de prestataire de  service</t>
  </si>
  <si>
    <t xml:space="preserve">selection de deux prestataires au minimum pour chaque activité </t>
  </si>
  <si>
    <t xml:space="preserve">pour chaque activité on a selectionné un préstataire de service  </t>
  </si>
  <si>
    <t>Fiche d'analyse du Risque et Opportunité  Processus                                                                                                                                                                                                       Année :2022</t>
  </si>
  <si>
    <t xml:space="preserve">Amélioration la compétence &amp; le savoir faire chez les regleurs  </t>
  </si>
  <si>
    <t xml:space="preserve">Selection deux prestataires au minimum dans le même domaine de fonction  </t>
  </si>
  <si>
    <t xml:space="preserve">Pas de retard rencontré sur une  prestation de service </t>
  </si>
  <si>
    <t>Reporté en 2022</t>
  </si>
  <si>
    <t>Reporté en 2023</t>
  </si>
  <si>
    <t>Date  de surveillance  : 23/12/2022</t>
  </si>
  <si>
    <t>Fiche d'analyse du Risque et Opportunité  Processus                                                                                                                                                                                                       Année :2023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</si>
</sst>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24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26"/>
      <color theme="1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24"/>
      <name val="Arial Black"/>
      <family val="2"/>
    </font>
    <font>
      <b/>
      <i/>
      <sz val="16"/>
      <name val="Arial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0"/>
      <name val="Times New Roman"/>
      <family val="1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8"/>
      <color theme="1"/>
      <name val="Calibri"/>
      <family val="2"/>
      <scheme val="minor"/>
    </font>
    <font>
      <sz val="14"/>
      <name val="Times New Roman"/>
      <family val="1"/>
    </font>
    <font>
      <b/>
      <i/>
      <sz val="14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6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49" fontId="8" fillId="0" borderId="0" xfId="0" applyNumberFormat="1" applyFont="1" applyBorder="1" applyAlignment="1">
      <alignment vertical="top" textRotation="90" wrapText="1"/>
    </xf>
    <xf numFmtId="0" fontId="6" fillId="0" borderId="0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11" fillId="4" borderId="0" xfId="0" applyFont="1" applyFill="1" applyBorder="1" applyAlignment="1">
      <alignment horizontal="left" vertical="top" wrapText="1"/>
    </xf>
    <xf numFmtId="0" fontId="11" fillId="4" borderId="10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vertical="top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9" fillId="4" borderId="8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4" borderId="0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5" fillId="4" borderId="3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top" wrapText="1"/>
    </xf>
    <xf numFmtId="14" fontId="14" fillId="4" borderId="1" xfId="0" applyNumberFormat="1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6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2" fillId="0" borderId="5" xfId="0" applyFont="1" applyBorder="1" applyAlignment="1">
      <alignment vertical="top"/>
    </xf>
    <xf numFmtId="0" fontId="0" fillId="0" borderId="0" xfId="0" applyBorder="1" applyAlignment="1">
      <alignment vertical="top"/>
    </xf>
    <xf numFmtId="49" fontId="17" fillId="0" borderId="0" xfId="0" applyNumberFormat="1" applyFont="1" applyBorder="1" applyAlignment="1">
      <alignment vertical="top" textRotation="90" wrapText="1"/>
    </xf>
    <xf numFmtId="0" fontId="0" fillId="0" borderId="0" xfId="0" applyBorder="1" applyAlignment="1">
      <alignment vertical="top" wrapText="1"/>
    </xf>
    <xf numFmtId="0" fontId="23" fillId="4" borderId="0" xfId="0" applyFont="1" applyFill="1" applyBorder="1" applyAlignment="1">
      <alignment horizontal="left" vertical="top"/>
    </xf>
    <xf numFmtId="0" fontId="24" fillId="3" borderId="2" xfId="0" applyFont="1" applyFill="1" applyBorder="1" applyAlignment="1">
      <alignment horizontal="center" vertical="top" wrapText="1"/>
    </xf>
    <xf numFmtId="0" fontId="24" fillId="3" borderId="3" xfId="0" applyFont="1" applyFill="1" applyBorder="1" applyAlignment="1">
      <alignment horizontal="center" vertical="top" wrapText="1"/>
    </xf>
    <xf numFmtId="0" fontId="24" fillId="3" borderId="13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 wrapText="1"/>
    </xf>
    <xf numFmtId="0" fontId="26" fillId="4" borderId="1" xfId="0" applyFont="1" applyFill="1" applyBorder="1" applyAlignment="1">
      <alignment vertical="top"/>
    </xf>
    <xf numFmtId="0" fontId="2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11" fillId="4" borderId="0" xfId="0" applyFont="1" applyFill="1" applyBorder="1" applyAlignment="1">
      <alignment vertical="top" wrapText="1"/>
    </xf>
    <xf numFmtId="0" fontId="28" fillId="3" borderId="1" xfId="0" applyFont="1" applyFill="1" applyBorder="1" applyAlignment="1">
      <alignment vertical="top" wrapText="1"/>
    </xf>
    <xf numFmtId="0" fontId="28" fillId="3" borderId="3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11" fillId="4" borderId="0" xfId="0" applyFont="1" applyFill="1" applyBorder="1" applyAlignment="1">
      <alignment horizontal="center" vertical="top" wrapText="1"/>
    </xf>
    <xf numFmtId="17" fontId="10" fillId="0" borderId="1" xfId="0" applyNumberFormat="1" applyFont="1" applyBorder="1" applyAlignment="1">
      <alignment horizontal="center" vertical="top" wrapText="1"/>
    </xf>
    <xf numFmtId="0" fontId="10" fillId="4" borderId="0" xfId="0" applyFont="1" applyFill="1" applyBorder="1" applyAlignment="1">
      <alignment vertical="top" wrapText="1"/>
    </xf>
    <xf numFmtId="0" fontId="7" fillId="4" borderId="0" xfId="0" applyFont="1" applyFill="1" applyBorder="1" applyAlignment="1">
      <alignment vertical="top" wrapText="1"/>
    </xf>
    <xf numFmtId="0" fontId="24" fillId="3" borderId="3" xfId="0" applyFont="1" applyFill="1" applyBorder="1" applyAlignment="1">
      <alignment horizontal="center" vertical="center" wrapText="1"/>
    </xf>
    <xf numFmtId="14" fontId="24" fillId="4" borderId="2" xfId="0" applyNumberFormat="1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23" fillId="4" borderId="0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24" fillId="4" borderId="1" xfId="0" applyNumberFormat="1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31" fillId="3" borderId="2" xfId="0" applyFont="1" applyFill="1" applyBorder="1" applyAlignment="1">
      <alignment horizontal="center" vertical="top" wrapText="1"/>
    </xf>
    <xf numFmtId="0" fontId="33" fillId="0" borderId="5" xfId="0" applyFont="1" applyBorder="1" applyAlignment="1">
      <alignment vertical="top"/>
    </xf>
    <xf numFmtId="14" fontId="10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23" fillId="4" borderId="0" xfId="0" applyFont="1" applyFill="1" applyBorder="1" applyAlignment="1">
      <alignment horizontal="left" vertical="top"/>
    </xf>
    <xf numFmtId="0" fontId="11" fillId="4" borderId="0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23" fillId="4" borderId="0" xfId="0" applyFont="1" applyFill="1" applyBorder="1" applyAlignment="1">
      <alignment horizontal="left" vertical="top"/>
    </xf>
    <xf numFmtId="0" fontId="11" fillId="4" borderId="0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horizontal="center" vertical="top" wrapText="1"/>
    </xf>
    <xf numFmtId="0" fontId="26" fillId="4" borderId="1" xfId="0" applyFont="1" applyFill="1" applyBorder="1" applyAlignment="1">
      <alignment horizontal="center" vertical="center"/>
    </xf>
    <xf numFmtId="14" fontId="24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1" fillId="3" borderId="8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9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11" fillId="3" borderId="12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top" wrapText="1"/>
    </xf>
    <xf numFmtId="0" fontId="11" fillId="3" borderId="1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13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11" fillId="4" borderId="0" xfId="0" applyFont="1" applyFill="1" applyBorder="1" applyAlignment="1">
      <alignment horizontal="left" vertical="top" wrapText="1"/>
    </xf>
    <xf numFmtId="0" fontId="11" fillId="4" borderId="11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1" fillId="3" borderId="2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10" fillId="3" borderId="6" xfId="0" applyFont="1" applyFill="1" applyBorder="1" applyAlignment="1">
      <alignment horizontal="center" vertical="top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0" fontId="9" fillId="3" borderId="11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17" fontId="10" fillId="0" borderId="8" xfId="0" applyNumberFormat="1" applyFont="1" applyBorder="1" applyAlignment="1">
      <alignment horizontal="center" vertical="top" wrapText="1"/>
    </xf>
    <xf numFmtId="17" fontId="10" fillId="0" borderId="7" xfId="0" applyNumberFormat="1" applyFont="1" applyBorder="1" applyAlignment="1">
      <alignment horizontal="center" vertical="top" wrapText="1"/>
    </xf>
    <xf numFmtId="17" fontId="10" fillId="0" borderId="9" xfId="0" applyNumberFormat="1" applyFont="1" applyBorder="1" applyAlignment="1">
      <alignment horizontal="center" vertical="top" wrapText="1"/>
    </xf>
    <xf numFmtId="0" fontId="10" fillId="4" borderId="8" xfId="0" applyFont="1" applyFill="1" applyBorder="1" applyAlignment="1">
      <alignment horizontal="left" vertical="top" wrapText="1"/>
    </xf>
    <xf numFmtId="0" fontId="10" fillId="4" borderId="7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10" fillId="8" borderId="8" xfId="0" applyFont="1" applyFill="1" applyBorder="1" applyAlignment="1">
      <alignment horizontal="left" vertical="top" wrapText="1"/>
    </xf>
    <xf numFmtId="0" fontId="10" fillId="8" borderId="7" xfId="0" applyFont="1" applyFill="1" applyBorder="1" applyAlignment="1">
      <alignment horizontal="left" vertical="top" wrapText="1"/>
    </xf>
    <xf numFmtId="0" fontId="10" fillId="8" borderId="9" xfId="0" applyFont="1" applyFill="1" applyBorder="1" applyAlignment="1">
      <alignment horizontal="left" vertical="top" wrapText="1"/>
    </xf>
    <xf numFmtId="0" fontId="24" fillId="3" borderId="8" xfId="0" applyFont="1" applyFill="1" applyBorder="1" applyAlignment="1">
      <alignment horizontal="center" vertical="top" wrapText="1"/>
    </xf>
    <xf numFmtId="0" fontId="24" fillId="3" borderId="7" xfId="0" applyFont="1" applyFill="1" applyBorder="1" applyAlignment="1">
      <alignment horizontal="center" vertical="top" wrapText="1"/>
    </xf>
    <xf numFmtId="0" fontId="24" fillId="3" borderId="9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24" fillId="3" borderId="4" xfId="0" applyFont="1" applyFill="1" applyBorder="1" applyAlignment="1">
      <alignment horizontal="center" vertical="top" wrapText="1"/>
    </xf>
    <xf numFmtId="0" fontId="24" fillId="3" borderId="6" xfId="0" applyFont="1" applyFill="1" applyBorder="1" applyAlignment="1">
      <alignment horizontal="center" vertical="top" wrapText="1"/>
    </xf>
    <xf numFmtId="0" fontId="24" fillId="3" borderId="12" xfId="0" applyFont="1" applyFill="1" applyBorder="1" applyAlignment="1">
      <alignment horizontal="center" vertical="top" wrapText="1"/>
    </xf>
    <xf numFmtId="0" fontId="24" fillId="3" borderId="10" xfId="0" applyFont="1" applyFill="1" applyBorder="1" applyAlignment="1">
      <alignment horizontal="center" vertical="top" wrapText="1"/>
    </xf>
    <xf numFmtId="0" fontId="24" fillId="3" borderId="2" xfId="0" applyFont="1" applyFill="1" applyBorder="1" applyAlignment="1">
      <alignment horizontal="center" vertical="top" wrapText="1"/>
    </xf>
    <xf numFmtId="0" fontId="24" fillId="3" borderId="3" xfId="0" applyFont="1" applyFill="1" applyBorder="1" applyAlignment="1">
      <alignment horizontal="center" vertical="top" wrapText="1"/>
    </xf>
    <xf numFmtId="0" fontId="24" fillId="3" borderId="13" xfId="0" applyFont="1" applyFill="1" applyBorder="1" applyAlignment="1">
      <alignment horizontal="center" vertical="top" wrapText="1"/>
    </xf>
    <xf numFmtId="0" fontId="24" fillId="3" borderId="5" xfId="0" applyFont="1" applyFill="1" applyBorder="1" applyAlignment="1">
      <alignment horizontal="center" vertical="top" wrapText="1"/>
    </xf>
    <xf numFmtId="0" fontId="24" fillId="3" borderId="1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top" wrapText="1"/>
    </xf>
    <xf numFmtId="0" fontId="20" fillId="2" borderId="8" xfId="0" applyFont="1" applyFill="1" applyBorder="1" applyAlignment="1">
      <alignment horizontal="center" vertical="top" wrapText="1"/>
    </xf>
    <xf numFmtId="0" fontId="20" fillId="2" borderId="7" xfId="0" applyFont="1" applyFill="1" applyBorder="1" applyAlignment="1">
      <alignment horizontal="center" vertical="top" wrapText="1"/>
    </xf>
    <xf numFmtId="0" fontId="20" fillId="2" borderId="9" xfId="0" applyFont="1" applyFill="1" applyBorder="1" applyAlignment="1">
      <alignment horizontal="center" vertical="top" wrapText="1"/>
    </xf>
    <xf numFmtId="0" fontId="21" fillId="2" borderId="8" xfId="0" applyFont="1" applyFill="1" applyBorder="1" applyAlignment="1">
      <alignment horizontal="center" vertical="top" wrapText="1"/>
    </xf>
    <xf numFmtId="0" fontId="21" fillId="2" borderId="7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3" fillId="4" borderId="0" xfId="0" applyFont="1" applyFill="1" applyBorder="1" applyAlignment="1">
      <alignment horizontal="left" vertical="top"/>
    </xf>
    <xf numFmtId="0" fontId="23" fillId="4" borderId="11" xfId="0" applyFont="1" applyFill="1" applyBorder="1" applyAlignment="1">
      <alignment horizontal="left" vertical="top"/>
    </xf>
    <xf numFmtId="0" fontId="23" fillId="3" borderId="8" xfId="0" applyFont="1" applyFill="1" applyBorder="1" applyAlignment="1">
      <alignment horizontal="center" vertical="top" wrapText="1"/>
    </xf>
    <xf numFmtId="0" fontId="23" fillId="3" borderId="9" xfId="0" applyFont="1" applyFill="1" applyBorder="1" applyAlignment="1">
      <alignment horizontal="center" vertical="top" wrapText="1"/>
    </xf>
    <xf numFmtId="0" fontId="23" fillId="3" borderId="8" xfId="0" applyFont="1" applyFill="1" applyBorder="1" applyAlignment="1">
      <alignment horizontal="center" vertical="top"/>
    </xf>
    <xf numFmtId="0" fontId="23" fillId="3" borderId="7" xfId="0" applyFont="1" applyFill="1" applyBorder="1" applyAlignment="1">
      <alignment horizontal="center" vertical="top"/>
    </xf>
    <xf numFmtId="0" fontId="23" fillId="3" borderId="9" xfId="0" applyFont="1" applyFill="1" applyBorder="1" applyAlignment="1">
      <alignment horizontal="center" vertical="top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11" fillId="4" borderId="0" xfId="0" applyFont="1" applyFill="1" applyBorder="1" applyAlignment="1">
      <alignment horizontal="center" vertical="top" wrapText="1"/>
    </xf>
    <xf numFmtId="0" fontId="28" fillId="3" borderId="8" xfId="0" applyFont="1" applyFill="1" applyBorder="1" applyAlignment="1">
      <alignment horizontal="center" vertical="top" wrapText="1"/>
    </xf>
    <xf numFmtId="0" fontId="28" fillId="3" borderId="9" xfId="0" applyFont="1" applyFill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28" fillId="3" borderId="1" xfId="0" applyFont="1" applyFill="1" applyBorder="1" applyAlignment="1">
      <alignment horizontal="center" vertical="top" wrapText="1"/>
    </xf>
    <xf numFmtId="0" fontId="28" fillId="3" borderId="4" xfId="0" applyFont="1" applyFill="1" applyBorder="1" applyAlignment="1">
      <alignment horizontal="center" vertical="top" wrapText="1"/>
    </xf>
    <xf numFmtId="0" fontId="28" fillId="3" borderId="5" xfId="0" applyFont="1" applyFill="1" applyBorder="1" applyAlignment="1">
      <alignment horizontal="center" vertical="top" wrapText="1"/>
    </xf>
    <xf numFmtId="0" fontId="28" fillId="3" borderId="6" xfId="0" applyFont="1" applyFill="1" applyBorder="1" applyAlignment="1">
      <alignment horizontal="center" vertical="top" wrapText="1"/>
    </xf>
    <xf numFmtId="0" fontId="28" fillId="3" borderId="12" xfId="0" applyFont="1" applyFill="1" applyBorder="1" applyAlignment="1">
      <alignment horizontal="center" vertical="top" wrapText="1"/>
    </xf>
    <xf numFmtId="0" fontId="28" fillId="3" borderId="11" xfId="0" applyFont="1" applyFill="1" applyBorder="1" applyAlignment="1">
      <alignment horizontal="center" vertical="top" wrapText="1"/>
    </xf>
    <xf numFmtId="0" fontId="28" fillId="3" borderId="10" xfId="0" applyFont="1" applyFill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25" fillId="0" borderId="8" xfId="0" applyFont="1" applyBorder="1" applyAlignment="1">
      <alignment horizontal="center" vertical="center" textRotation="90" wrapText="1"/>
    </xf>
    <xf numFmtId="0" fontId="25" fillId="0" borderId="9" xfId="0" applyFont="1" applyBorder="1" applyAlignment="1">
      <alignment horizontal="center" vertical="center" textRotation="90" wrapText="1"/>
    </xf>
    <xf numFmtId="0" fontId="30" fillId="0" borderId="8" xfId="0" applyFont="1" applyBorder="1" applyAlignment="1">
      <alignment horizontal="center" vertical="center" textRotation="90" wrapText="1"/>
    </xf>
    <xf numFmtId="0" fontId="30" fillId="0" borderId="9" xfId="0" applyFont="1" applyBorder="1" applyAlignment="1">
      <alignment horizontal="center" vertical="center" textRotation="90" wrapText="1"/>
    </xf>
    <xf numFmtId="0" fontId="30" fillId="0" borderId="1" xfId="0" applyFont="1" applyBorder="1" applyAlignment="1">
      <alignment horizontal="center" vertical="center" textRotation="90" wrapText="1"/>
    </xf>
    <xf numFmtId="0" fontId="16" fillId="0" borderId="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/>
    </xf>
    <xf numFmtId="0" fontId="32" fillId="2" borderId="1" xfId="0" applyFont="1" applyFill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34" fillId="4" borderId="0" xfId="0" applyFont="1" applyFill="1" applyBorder="1" applyAlignment="1">
      <alignment horizontal="left" vertical="top"/>
    </xf>
    <xf numFmtId="0" fontId="34" fillId="4" borderId="11" xfId="0" applyFont="1" applyFill="1" applyBorder="1" applyAlignment="1">
      <alignment horizontal="left" vertical="top"/>
    </xf>
    <xf numFmtId="0" fontId="29" fillId="3" borderId="8" xfId="0" applyFont="1" applyFill="1" applyBorder="1" applyAlignment="1">
      <alignment horizontal="center" vertical="top" wrapText="1"/>
    </xf>
    <xf numFmtId="0" fontId="29" fillId="3" borderId="9" xfId="0" applyFont="1" applyFill="1" applyBorder="1" applyAlignment="1">
      <alignment horizontal="center" vertical="top" wrapText="1"/>
    </xf>
    <xf numFmtId="0" fontId="29" fillId="3" borderId="8" xfId="0" applyFont="1" applyFill="1" applyBorder="1" applyAlignment="1">
      <alignment horizontal="center" vertical="top"/>
    </xf>
    <xf numFmtId="0" fontId="29" fillId="3" borderId="7" xfId="0" applyFont="1" applyFill="1" applyBorder="1" applyAlignment="1">
      <alignment horizontal="center" vertical="top"/>
    </xf>
    <xf numFmtId="0" fontId="29" fillId="3" borderId="9" xfId="0" applyFont="1" applyFill="1" applyBorder="1" applyAlignment="1">
      <alignment horizontal="center" vertical="top"/>
    </xf>
    <xf numFmtId="0" fontId="31" fillId="3" borderId="8" xfId="0" applyFont="1" applyFill="1" applyBorder="1" applyAlignment="1">
      <alignment horizontal="center" vertical="top" wrapText="1"/>
    </xf>
    <xf numFmtId="0" fontId="31" fillId="3" borderId="7" xfId="0" applyFont="1" applyFill="1" applyBorder="1" applyAlignment="1">
      <alignment horizontal="center" vertical="top" wrapText="1"/>
    </xf>
    <xf numFmtId="0" fontId="31" fillId="3" borderId="9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center" vertical="top" wrapText="1"/>
    </xf>
    <xf numFmtId="0" fontId="14" fillId="3" borderId="12" xfId="0" applyFont="1" applyFill="1" applyBorder="1" applyAlignment="1">
      <alignment horizontal="center" vertical="top" wrapText="1"/>
    </xf>
    <xf numFmtId="0" fontId="14" fillId="3" borderId="10" xfId="0" applyFont="1" applyFill="1" applyBorder="1" applyAlignment="1">
      <alignment horizontal="center" vertical="top" wrapText="1"/>
    </xf>
    <xf numFmtId="0" fontId="14" fillId="3" borderId="8" xfId="0" applyFont="1" applyFill="1" applyBorder="1" applyAlignment="1">
      <alignment horizontal="center" vertical="top" wrapText="1"/>
    </xf>
    <xf numFmtId="0" fontId="14" fillId="3" borderId="9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/>
    </xf>
    <xf numFmtId="0" fontId="16" fillId="0" borderId="7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top"/>
    </xf>
    <xf numFmtId="0" fontId="14" fillId="3" borderId="13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31" fillId="3" borderId="4" xfId="0" applyFont="1" applyFill="1" applyBorder="1" applyAlignment="1">
      <alignment horizontal="center" vertical="top" wrapText="1"/>
    </xf>
    <xf numFmtId="0" fontId="31" fillId="3" borderId="5" xfId="0" applyFont="1" applyFill="1" applyBorder="1" applyAlignment="1">
      <alignment horizontal="center" vertical="top" wrapText="1"/>
    </xf>
    <xf numFmtId="0" fontId="31" fillId="3" borderId="6" xfId="0" applyFont="1" applyFill="1" applyBorder="1" applyAlignment="1">
      <alignment horizontal="center" vertical="top" wrapText="1"/>
    </xf>
    <xf numFmtId="0" fontId="31" fillId="3" borderId="12" xfId="0" applyFont="1" applyFill="1" applyBorder="1" applyAlignment="1">
      <alignment horizontal="center" vertical="top" wrapText="1"/>
    </xf>
    <xf numFmtId="0" fontId="31" fillId="3" borderId="11" xfId="0" applyFont="1" applyFill="1" applyBorder="1" applyAlignment="1">
      <alignment horizontal="center" vertical="top" wrapText="1"/>
    </xf>
    <xf numFmtId="0" fontId="31" fillId="3" borderId="10" xfId="0" applyFont="1" applyFill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textRotation="90" wrapText="1"/>
    </xf>
    <xf numFmtId="0" fontId="16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opLeftCell="F1" workbookViewId="0">
      <selection activeCell="P8" sqref="P8:P9"/>
    </sheetView>
  </sheetViews>
  <sheetFormatPr baseColWidth="10" defaultColWidth="11.5703125" defaultRowHeight="15" x14ac:dyDescent="0.25"/>
  <cols>
    <col min="1" max="1" width="11.5703125" style="1"/>
    <col min="2" max="2" width="26" style="1" customWidth="1"/>
    <col min="3" max="3" width="41.7109375" style="1" customWidth="1"/>
    <col min="4" max="4" width="50.5703125" style="1" customWidth="1"/>
    <col min="5" max="5" width="28" style="1" customWidth="1"/>
    <col min="6" max="6" width="6.42578125" style="1" customWidth="1"/>
    <col min="7" max="8" width="6.7109375" style="1" customWidth="1"/>
    <col min="9" max="9" width="10.140625" style="1" customWidth="1"/>
    <col min="10" max="10" width="34.85546875" style="1" customWidth="1"/>
    <col min="11" max="11" width="18.140625" style="1" customWidth="1"/>
    <col min="12" max="12" width="6.140625" style="1" customWidth="1"/>
    <col min="13" max="13" width="5.85546875" style="1" customWidth="1"/>
    <col min="14" max="14" width="6.5703125" style="1" customWidth="1"/>
    <col min="15" max="15" width="22.42578125" style="1" customWidth="1"/>
    <col min="16" max="16" width="7.42578125" style="1" customWidth="1"/>
    <col min="17" max="17" width="9" style="1" customWidth="1"/>
    <col min="18" max="18" width="12.7109375" style="1" customWidth="1"/>
    <col min="19" max="19" width="13.42578125" style="1" customWidth="1"/>
    <col min="20" max="16384" width="11.5703125" style="1"/>
  </cols>
  <sheetData>
    <row r="1" spans="1:19" ht="69.75" customHeight="1" x14ac:dyDescent="0.25">
      <c r="B1" s="174" t="s">
        <v>37</v>
      </c>
      <c r="C1" s="175"/>
      <c r="D1" s="153" t="s">
        <v>134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5"/>
      <c r="Q1" s="151" t="s">
        <v>52</v>
      </c>
      <c r="R1" s="151"/>
      <c r="S1" s="152"/>
    </row>
    <row r="2" spans="1:19" ht="28.5" customHeight="1" x14ac:dyDescent="0.25">
      <c r="B2" s="158" t="s">
        <v>8</v>
      </c>
      <c r="C2" s="158"/>
      <c r="D2" s="158"/>
      <c r="E2" s="158"/>
      <c r="F2" s="159"/>
      <c r="G2" s="159"/>
      <c r="H2" s="159"/>
      <c r="I2" s="159"/>
      <c r="J2" s="2"/>
      <c r="K2" s="3"/>
      <c r="L2" s="4"/>
      <c r="M2" s="4"/>
      <c r="N2" s="4"/>
      <c r="O2" s="4"/>
      <c r="P2" s="4"/>
      <c r="Q2" s="156" t="s">
        <v>72</v>
      </c>
      <c r="R2" s="156"/>
      <c r="S2" s="156"/>
    </row>
    <row r="3" spans="1:19" ht="35.25" customHeight="1" x14ac:dyDescent="0.25">
      <c r="B3" s="176" t="s">
        <v>14</v>
      </c>
      <c r="C3" s="177"/>
      <c r="D3" s="18"/>
      <c r="E3" s="19"/>
      <c r="F3" s="157" t="s">
        <v>12</v>
      </c>
      <c r="G3" s="157"/>
      <c r="H3" s="157"/>
      <c r="I3" s="157"/>
      <c r="J3" s="157"/>
      <c r="K3" s="157"/>
      <c r="L3" s="157" t="s">
        <v>11</v>
      </c>
      <c r="M3" s="157"/>
      <c r="N3" s="157"/>
      <c r="O3" s="157"/>
      <c r="P3" s="157"/>
      <c r="Q3" s="157"/>
      <c r="R3" s="157"/>
      <c r="S3" s="157"/>
    </row>
    <row r="4" spans="1:19" ht="32.25" customHeight="1" x14ac:dyDescent="0.25">
      <c r="A4" s="157" t="s">
        <v>59</v>
      </c>
      <c r="B4" s="157"/>
      <c r="C4" s="157" t="s">
        <v>0</v>
      </c>
      <c r="D4" s="180" t="s">
        <v>43</v>
      </c>
      <c r="E4" s="180" t="s">
        <v>41</v>
      </c>
      <c r="F4" s="157" t="s">
        <v>9</v>
      </c>
      <c r="G4" s="157"/>
      <c r="H4" s="157"/>
      <c r="I4" s="157"/>
      <c r="J4" s="20" t="s">
        <v>1</v>
      </c>
      <c r="K4" s="20" t="s">
        <v>2</v>
      </c>
      <c r="L4" s="140" t="s">
        <v>49</v>
      </c>
      <c r="M4" s="141"/>
      <c r="N4" s="141"/>
      <c r="O4" s="142"/>
      <c r="P4" s="137" t="s">
        <v>10</v>
      </c>
      <c r="Q4" s="138"/>
      <c r="R4" s="138"/>
      <c r="S4" s="139"/>
    </row>
    <row r="5" spans="1:19" ht="30.75" customHeight="1" x14ac:dyDescent="0.25">
      <c r="A5" s="157"/>
      <c r="B5" s="157"/>
      <c r="C5" s="157"/>
      <c r="D5" s="181"/>
      <c r="E5" s="181"/>
      <c r="F5" s="21" t="s">
        <v>3</v>
      </c>
      <c r="G5" s="21" t="s">
        <v>4</v>
      </c>
      <c r="H5" s="21" t="s">
        <v>5</v>
      </c>
      <c r="I5" s="21" t="s">
        <v>6</v>
      </c>
      <c r="J5" s="22"/>
      <c r="K5" s="22"/>
      <c r="L5" s="143"/>
      <c r="M5" s="144"/>
      <c r="N5" s="144"/>
      <c r="O5" s="145"/>
      <c r="P5" s="21" t="s">
        <v>13</v>
      </c>
      <c r="Q5" s="21" t="s">
        <v>19</v>
      </c>
      <c r="R5" s="23" t="s">
        <v>63</v>
      </c>
      <c r="S5" s="23" t="s">
        <v>64</v>
      </c>
    </row>
    <row r="6" spans="1:19" ht="58.5" customHeight="1" x14ac:dyDescent="0.25">
      <c r="A6" s="148" t="s">
        <v>53</v>
      </c>
      <c r="B6" s="15" t="s">
        <v>58</v>
      </c>
      <c r="C6" s="9" t="s">
        <v>20</v>
      </c>
      <c r="D6" s="9" t="s">
        <v>30</v>
      </c>
      <c r="E6" s="45" t="s">
        <v>44</v>
      </c>
      <c r="F6" s="10">
        <v>3</v>
      </c>
      <c r="G6" s="10">
        <v>2</v>
      </c>
      <c r="H6" s="10">
        <v>2</v>
      </c>
      <c r="I6" s="11">
        <v>12</v>
      </c>
      <c r="J6" s="53" t="s">
        <v>40</v>
      </c>
      <c r="K6" s="12" t="s">
        <v>25</v>
      </c>
      <c r="L6" s="213" t="s">
        <v>70</v>
      </c>
      <c r="M6" s="214"/>
      <c r="N6" s="214"/>
      <c r="O6" s="215"/>
      <c r="P6" s="32" t="s">
        <v>71</v>
      </c>
      <c r="Q6" s="5"/>
      <c r="R6" s="34">
        <v>43438</v>
      </c>
      <c r="S6" s="35" t="s">
        <v>73</v>
      </c>
    </row>
    <row r="7" spans="1:19" ht="68.25" customHeight="1" x14ac:dyDescent="0.25">
      <c r="A7" s="149"/>
      <c r="B7" s="8" t="s">
        <v>57</v>
      </c>
      <c r="C7" s="8" t="s">
        <v>21</v>
      </c>
      <c r="D7" s="8" t="s">
        <v>32</v>
      </c>
      <c r="E7" s="45" t="s">
        <v>45</v>
      </c>
      <c r="F7" s="10">
        <v>3</v>
      </c>
      <c r="G7" s="10">
        <v>2</v>
      </c>
      <c r="H7" s="10">
        <v>2</v>
      </c>
      <c r="I7" s="11">
        <v>12</v>
      </c>
      <c r="J7" s="51" t="s">
        <v>31</v>
      </c>
      <c r="K7" s="12" t="s">
        <v>25</v>
      </c>
      <c r="L7" s="213" t="s">
        <v>74</v>
      </c>
      <c r="M7" s="214"/>
      <c r="N7" s="214"/>
      <c r="O7" s="215"/>
      <c r="P7" s="7" t="s">
        <v>71</v>
      </c>
      <c r="Q7" s="5"/>
      <c r="R7" s="33">
        <v>43438</v>
      </c>
      <c r="S7" s="65" t="s">
        <v>73</v>
      </c>
    </row>
    <row r="8" spans="1:19" ht="64.5" customHeight="1" x14ac:dyDescent="0.25">
      <c r="A8" s="149"/>
      <c r="B8" s="178" t="s">
        <v>56</v>
      </c>
      <c r="C8" s="13" t="s">
        <v>22</v>
      </c>
      <c r="D8" s="13" t="s">
        <v>75</v>
      </c>
      <c r="E8" s="44" t="s">
        <v>46</v>
      </c>
      <c r="F8" s="10">
        <v>3</v>
      </c>
      <c r="G8" s="10">
        <v>2</v>
      </c>
      <c r="H8" s="10">
        <v>2</v>
      </c>
      <c r="I8" s="11">
        <v>12</v>
      </c>
      <c r="J8" s="52" t="s">
        <v>26</v>
      </c>
      <c r="K8" s="14" t="s">
        <v>25</v>
      </c>
      <c r="L8" s="160" t="s">
        <v>76</v>
      </c>
      <c r="M8" s="161"/>
      <c r="N8" s="161"/>
      <c r="O8" s="162"/>
      <c r="P8" s="168" t="s">
        <v>71</v>
      </c>
      <c r="Q8" s="166"/>
      <c r="R8" s="170">
        <v>43438</v>
      </c>
      <c r="S8" s="172" t="s">
        <v>73</v>
      </c>
    </row>
    <row r="9" spans="1:19" ht="131.25" customHeight="1" x14ac:dyDescent="0.25">
      <c r="A9" s="149"/>
      <c r="B9" s="179"/>
      <c r="C9" s="16" t="s">
        <v>23</v>
      </c>
      <c r="D9" s="16" t="s">
        <v>33</v>
      </c>
      <c r="E9" s="44" t="s">
        <v>47</v>
      </c>
      <c r="F9" s="10">
        <v>3</v>
      </c>
      <c r="G9" s="10">
        <v>3</v>
      </c>
      <c r="H9" s="10">
        <v>2</v>
      </c>
      <c r="I9" s="17">
        <v>18</v>
      </c>
      <c r="J9" s="56" t="s">
        <v>34</v>
      </c>
      <c r="K9" s="14" t="s">
        <v>15</v>
      </c>
      <c r="L9" s="163"/>
      <c r="M9" s="164"/>
      <c r="N9" s="164"/>
      <c r="O9" s="165"/>
      <c r="P9" s="169"/>
      <c r="Q9" s="167"/>
      <c r="R9" s="171"/>
      <c r="S9" s="173"/>
    </row>
    <row r="10" spans="1:19" ht="76.5" customHeight="1" x14ac:dyDescent="0.25">
      <c r="A10" s="149"/>
      <c r="B10" s="15" t="s">
        <v>54</v>
      </c>
      <c r="C10" s="16" t="s">
        <v>38</v>
      </c>
      <c r="D10" s="16" t="s">
        <v>35</v>
      </c>
      <c r="E10" s="16" t="s">
        <v>77</v>
      </c>
      <c r="F10" s="10">
        <v>3</v>
      </c>
      <c r="G10" s="10">
        <v>3</v>
      </c>
      <c r="H10" s="10">
        <v>2</v>
      </c>
      <c r="I10" s="17">
        <v>18</v>
      </c>
      <c r="J10" s="9" t="s">
        <v>39</v>
      </c>
      <c r="K10" s="14" t="s">
        <v>24</v>
      </c>
      <c r="L10" s="184" t="s">
        <v>78</v>
      </c>
      <c r="M10" s="185"/>
      <c r="N10" s="185"/>
      <c r="O10" s="186"/>
      <c r="P10" s="5"/>
      <c r="Q10" s="5"/>
      <c r="R10" s="6" t="s">
        <v>98</v>
      </c>
      <c r="S10" s="65"/>
    </row>
    <row r="11" spans="1:19" ht="64.5" customHeight="1" x14ac:dyDescent="0.25">
      <c r="A11" s="149"/>
      <c r="B11" s="146" t="s">
        <v>55</v>
      </c>
      <c r="C11" s="16" t="s">
        <v>28</v>
      </c>
      <c r="D11" s="16" t="s">
        <v>36</v>
      </c>
      <c r="E11" s="44" t="s">
        <v>93</v>
      </c>
      <c r="F11" s="10">
        <v>3</v>
      </c>
      <c r="G11" s="10">
        <v>3</v>
      </c>
      <c r="H11" s="10">
        <v>3</v>
      </c>
      <c r="I11" s="17">
        <v>27</v>
      </c>
      <c r="J11" s="9" t="s">
        <v>29</v>
      </c>
      <c r="K11" s="14" t="s">
        <v>27</v>
      </c>
      <c r="L11" s="184" t="s">
        <v>95</v>
      </c>
      <c r="M11" s="185"/>
      <c r="N11" s="185"/>
      <c r="O11" s="186"/>
      <c r="P11" s="5"/>
      <c r="Q11" s="5"/>
      <c r="R11" s="6" t="s">
        <v>98</v>
      </c>
      <c r="S11" s="65"/>
    </row>
    <row r="12" spans="1:19" ht="64.5" customHeight="1" x14ac:dyDescent="0.25">
      <c r="A12" s="150"/>
      <c r="B12" s="147"/>
      <c r="C12" s="37" t="s">
        <v>83</v>
      </c>
      <c r="D12" s="37" t="s">
        <v>84</v>
      </c>
      <c r="E12" s="43" t="s">
        <v>94</v>
      </c>
      <c r="F12" s="10">
        <v>4</v>
      </c>
      <c r="G12" s="10">
        <v>2</v>
      </c>
      <c r="H12" s="10">
        <v>2</v>
      </c>
      <c r="I12" s="17">
        <v>16</v>
      </c>
      <c r="J12" s="50" t="s">
        <v>85</v>
      </c>
      <c r="K12" s="38" t="s">
        <v>25</v>
      </c>
      <c r="L12" s="210" t="s">
        <v>86</v>
      </c>
      <c r="M12" s="211"/>
      <c r="N12" s="211"/>
      <c r="O12" s="212"/>
      <c r="P12" s="39"/>
      <c r="Q12" s="39"/>
      <c r="R12" s="6" t="s">
        <v>98</v>
      </c>
      <c r="S12" s="65"/>
    </row>
    <row r="13" spans="1:19" ht="46.5" customHeight="1" x14ac:dyDescent="0.25">
      <c r="A13" s="182" t="s">
        <v>60</v>
      </c>
      <c r="B13" s="183"/>
      <c r="C13" s="24" t="s">
        <v>61</v>
      </c>
      <c r="D13" s="24" t="s">
        <v>62</v>
      </c>
      <c r="E13" s="25" t="s">
        <v>46</v>
      </c>
      <c r="F13" s="24">
        <v>4</v>
      </c>
      <c r="G13" s="24">
        <v>3</v>
      </c>
      <c r="H13" s="24">
        <v>2</v>
      </c>
      <c r="I13" s="17">
        <v>24</v>
      </c>
      <c r="J13" s="36" t="s">
        <v>80</v>
      </c>
      <c r="K13" s="25" t="s">
        <v>25</v>
      </c>
      <c r="L13" s="184" t="s">
        <v>81</v>
      </c>
      <c r="M13" s="185"/>
      <c r="N13" s="185"/>
      <c r="O13" s="186"/>
      <c r="P13" s="24"/>
      <c r="Q13" s="24"/>
      <c r="R13" s="6" t="s">
        <v>98</v>
      </c>
      <c r="S13" s="24"/>
    </row>
    <row r="14" spans="1:19" ht="53.25" customHeight="1" x14ac:dyDescent="0.25">
      <c r="A14" s="182" t="s">
        <v>87</v>
      </c>
      <c r="B14" s="183"/>
      <c r="C14" s="40" t="s">
        <v>88</v>
      </c>
      <c r="D14" s="24" t="s">
        <v>89</v>
      </c>
      <c r="E14" s="42" t="s">
        <v>90</v>
      </c>
      <c r="F14" s="24">
        <v>4</v>
      </c>
      <c r="G14" s="24">
        <v>3</v>
      </c>
      <c r="H14" s="24">
        <v>3</v>
      </c>
      <c r="I14" s="41">
        <v>48</v>
      </c>
      <c r="J14" s="40" t="s">
        <v>91</v>
      </c>
      <c r="K14" s="25" t="s">
        <v>25</v>
      </c>
      <c r="L14" s="187" t="s">
        <v>92</v>
      </c>
      <c r="M14" s="188"/>
      <c r="N14" s="188"/>
      <c r="O14" s="189"/>
      <c r="P14" s="24"/>
      <c r="Q14" s="24"/>
      <c r="R14" s="6" t="s">
        <v>98</v>
      </c>
      <c r="S14" s="24"/>
    </row>
    <row r="16" spans="1:19" ht="15.75" x14ac:dyDescent="0.25">
      <c r="B16" s="190" t="s">
        <v>16</v>
      </c>
      <c r="C16" s="191" t="s">
        <v>42</v>
      </c>
      <c r="D16" s="193" t="s">
        <v>65</v>
      </c>
      <c r="E16" s="194"/>
      <c r="F16" s="195" t="s">
        <v>17</v>
      </c>
      <c r="G16" s="196"/>
      <c r="H16" s="196"/>
      <c r="I16" s="196"/>
      <c r="J16" s="196"/>
      <c r="K16" s="196"/>
      <c r="L16" s="197" t="s">
        <v>66</v>
      </c>
      <c r="M16" s="198"/>
      <c r="N16" s="198"/>
      <c r="O16" s="199"/>
      <c r="P16" s="203" t="s">
        <v>67</v>
      </c>
      <c r="Q16" s="204"/>
      <c r="R16" s="204"/>
      <c r="S16" s="205"/>
    </row>
    <row r="17" spans="2:19" ht="31.5" x14ac:dyDescent="0.25">
      <c r="B17" s="190"/>
      <c r="C17" s="192"/>
      <c r="D17" s="27" t="s">
        <v>13</v>
      </c>
      <c r="E17" s="27" t="s">
        <v>19</v>
      </c>
      <c r="F17" s="206" t="s">
        <v>18</v>
      </c>
      <c r="G17" s="206"/>
      <c r="H17" s="206"/>
      <c r="I17" s="206"/>
      <c r="J17" s="206"/>
      <c r="K17" s="27" t="s">
        <v>2</v>
      </c>
      <c r="L17" s="200"/>
      <c r="M17" s="201"/>
      <c r="N17" s="201"/>
      <c r="O17" s="202"/>
      <c r="P17" s="26" t="s">
        <v>51</v>
      </c>
      <c r="Q17" s="26" t="s">
        <v>50</v>
      </c>
      <c r="R17" s="26" t="s">
        <v>63</v>
      </c>
      <c r="S17" s="26" t="s">
        <v>64</v>
      </c>
    </row>
    <row r="18" spans="2:19" ht="45.75" customHeight="1" x14ac:dyDescent="0.25">
      <c r="B18" s="28" t="s">
        <v>69</v>
      </c>
      <c r="C18" s="29" t="s">
        <v>48</v>
      </c>
      <c r="D18" s="30" t="s">
        <v>68</v>
      </c>
      <c r="E18" s="29"/>
      <c r="F18" s="207" t="s">
        <v>7</v>
      </c>
      <c r="G18" s="208"/>
      <c r="H18" s="208"/>
      <c r="I18" s="208"/>
      <c r="J18" s="209"/>
      <c r="K18" s="12" t="s">
        <v>25</v>
      </c>
      <c r="L18" s="210" t="s">
        <v>82</v>
      </c>
      <c r="M18" s="211"/>
      <c r="N18" s="211"/>
      <c r="O18" s="212"/>
      <c r="P18" s="31"/>
      <c r="Q18" s="31"/>
      <c r="R18" s="6" t="s">
        <v>98</v>
      </c>
      <c r="S18" s="31"/>
    </row>
  </sheetData>
  <mergeCells count="41">
    <mergeCell ref="P16:S16"/>
    <mergeCell ref="F17:J17"/>
    <mergeCell ref="F18:J18"/>
    <mergeCell ref="L18:O18"/>
    <mergeCell ref="L6:O6"/>
    <mergeCell ref="L7:O7"/>
    <mergeCell ref="L12:O12"/>
    <mergeCell ref="B16:B17"/>
    <mergeCell ref="C16:C17"/>
    <mergeCell ref="D16:E16"/>
    <mergeCell ref="F16:K16"/>
    <mergeCell ref="L16:O17"/>
    <mergeCell ref="A13:B13"/>
    <mergeCell ref="L13:O13"/>
    <mergeCell ref="L10:O10"/>
    <mergeCell ref="L11:O11"/>
    <mergeCell ref="A14:B14"/>
    <mergeCell ref="L14:O14"/>
    <mergeCell ref="B3:C3"/>
    <mergeCell ref="C4:C5"/>
    <mergeCell ref="F4:I4"/>
    <mergeCell ref="A4:B5"/>
    <mergeCell ref="B8:B9"/>
    <mergeCell ref="D4:D5"/>
    <mergeCell ref="E4:E5"/>
    <mergeCell ref="P4:S4"/>
    <mergeCell ref="L4:O5"/>
    <mergeCell ref="B11:B12"/>
    <mergeCell ref="A6:A12"/>
    <mergeCell ref="Q1:S1"/>
    <mergeCell ref="D1:P1"/>
    <mergeCell ref="Q2:S2"/>
    <mergeCell ref="L3:S3"/>
    <mergeCell ref="B2:I2"/>
    <mergeCell ref="L8:O9"/>
    <mergeCell ref="Q8:Q9"/>
    <mergeCell ref="P8:P9"/>
    <mergeCell ref="R8:R9"/>
    <mergeCell ref="S8:S9"/>
    <mergeCell ref="B1:C1"/>
    <mergeCell ref="F3:K3"/>
  </mergeCells>
  <pageMargins left="0.70866141732283472" right="0.70866141732283472" top="0.74803149606299213" bottom="0.74803149606299213" header="0.31496062992125984" footer="0.31496062992125984"/>
  <pageSetup paperSize="9" scale="39" orientation="landscape" horizontalDpi="4294967293" verticalDpi="4294967293" r:id="rId1"/>
  <headerFooter>
    <oddFooter>&amp;LVisa Pilote 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opLeftCell="A4" zoomScale="70" zoomScaleNormal="70" workbookViewId="0">
      <selection activeCell="B7" sqref="B7:B8"/>
    </sheetView>
  </sheetViews>
  <sheetFormatPr baseColWidth="10" defaultRowHeight="15" x14ac:dyDescent="0.25"/>
  <cols>
    <col min="2" max="2" width="21.85546875" customWidth="1"/>
    <col min="3" max="3" width="25.140625" customWidth="1"/>
    <col min="4" max="4" width="40.28515625" customWidth="1"/>
    <col min="5" max="5" width="28.7109375" customWidth="1"/>
    <col min="10" max="10" width="24.7109375" customWidth="1"/>
    <col min="11" max="11" width="18.7109375" customWidth="1"/>
  </cols>
  <sheetData>
    <row r="1" spans="1:19" ht="66" customHeight="1" x14ac:dyDescent="0.25">
      <c r="A1" s="1"/>
      <c r="B1" s="174" t="s">
        <v>37</v>
      </c>
      <c r="C1" s="175"/>
      <c r="D1" s="153" t="s">
        <v>133</v>
      </c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5"/>
      <c r="Q1" s="151" t="s">
        <v>52</v>
      </c>
      <c r="R1" s="151"/>
      <c r="S1" s="152"/>
    </row>
    <row r="2" spans="1:19" ht="45.75" customHeight="1" x14ac:dyDescent="0.25">
      <c r="A2" s="1"/>
      <c r="B2" s="158" t="s">
        <v>8</v>
      </c>
      <c r="C2" s="158"/>
      <c r="D2" s="158"/>
      <c r="E2" s="158"/>
      <c r="F2" s="159"/>
      <c r="G2" s="159"/>
      <c r="H2" s="159"/>
      <c r="I2" s="159"/>
      <c r="J2" s="2"/>
      <c r="K2" s="3"/>
      <c r="L2" s="4"/>
      <c r="M2" s="4"/>
      <c r="N2" s="4"/>
      <c r="O2" s="4"/>
      <c r="P2" s="4"/>
      <c r="Q2" s="156" t="s">
        <v>97</v>
      </c>
      <c r="R2" s="156"/>
      <c r="S2" s="156"/>
    </row>
    <row r="3" spans="1:19" ht="54.75" customHeight="1" x14ac:dyDescent="0.25">
      <c r="A3" s="1"/>
      <c r="B3" s="176" t="s">
        <v>14</v>
      </c>
      <c r="C3" s="177"/>
      <c r="D3" s="48"/>
      <c r="E3" s="19"/>
      <c r="F3" s="157" t="s">
        <v>12</v>
      </c>
      <c r="G3" s="157"/>
      <c r="H3" s="157"/>
      <c r="I3" s="157"/>
      <c r="J3" s="157"/>
      <c r="K3" s="157"/>
      <c r="L3" s="157" t="s">
        <v>11</v>
      </c>
      <c r="M3" s="157"/>
      <c r="N3" s="157"/>
      <c r="O3" s="157"/>
      <c r="P3" s="157"/>
      <c r="Q3" s="157"/>
      <c r="R3" s="157"/>
      <c r="S3" s="157"/>
    </row>
    <row r="4" spans="1:19" ht="45" customHeight="1" x14ac:dyDescent="0.25">
      <c r="A4" s="157" t="s">
        <v>59</v>
      </c>
      <c r="B4" s="157"/>
      <c r="C4" s="157" t="s">
        <v>0</v>
      </c>
      <c r="D4" s="180" t="s">
        <v>43</v>
      </c>
      <c r="E4" s="180" t="s">
        <v>41</v>
      </c>
      <c r="F4" s="157" t="s">
        <v>9</v>
      </c>
      <c r="G4" s="157"/>
      <c r="H4" s="157"/>
      <c r="I4" s="157"/>
      <c r="J4" s="20" t="s">
        <v>1</v>
      </c>
      <c r="K4" s="20" t="s">
        <v>2</v>
      </c>
      <c r="L4" s="140" t="s">
        <v>49</v>
      </c>
      <c r="M4" s="141"/>
      <c r="N4" s="141"/>
      <c r="O4" s="142"/>
      <c r="P4" s="137" t="s">
        <v>10</v>
      </c>
      <c r="Q4" s="138"/>
      <c r="R4" s="138"/>
      <c r="S4" s="139"/>
    </row>
    <row r="5" spans="1:19" ht="46.5" customHeight="1" x14ac:dyDescent="0.25">
      <c r="A5" s="157"/>
      <c r="B5" s="157"/>
      <c r="C5" s="157"/>
      <c r="D5" s="181"/>
      <c r="E5" s="181"/>
      <c r="F5" s="47" t="s">
        <v>3</v>
      </c>
      <c r="G5" s="47" t="s">
        <v>4</v>
      </c>
      <c r="H5" s="47" t="s">
        <v>5</v>
      </c>
      <c r="I5" s="47" t="s">
        <v>6</v>
      </c>
      <c r="J5" s="22"/>
      <c r="K5" s="22"/>
      <c r="L5" s="143"/>
      <c r="M5" s="144"/>
      <c r="N5" s="144"/>
      <c r="O5" s="145"/>
      <c r="P5" s="47" t="s">
        <v>13</v>
      </c>
      <c r="Q5" s="47" t="s">
        <v>19</v>
      </c>
      <c r="R5" s="47" t="s">
        <v>63</v>
      </c>
      <c r="S5" s="47" t="s">
        <v>64</v>
      </c>
    </row>
    <row r="6" spans="1:19" ht="136.5" customHeight="1" x14ac:dyDescent="0.25">
      <c r="A6" s="149" t="s">
        <v>96</v>
      </c>
      <c r="B6" s="49" t="s">
        <v>54</v>
      </c>
      <c r="C6" s="16" t="s">
        <v>38</v>
      </c>
      <c r="D6" s="16" t="s">
        <v>35</v>
      </c>
      <c r="E6" s="16" t="s">
        <v>77</v>
      </c>
      <c r="F6" s="54">
        <v>3</v>
      </c>
      <c r="G6" s="54">
        <v>3</v>
      </c>
      <c r="H6" s="54">
        <v>2</v>
      </c>
      <c r="I6" s="17">
        <v>18</v>
      </c>
      <c r="J6" s="9" t="s">
        <v>39</v>
      </c>
      <c r="K6" s="46" t="s">
        <v>24</v>
      </c>
      <c r="L6" s="213" t="s">
        <v>78</v>
      </c>
      <c r="M6" s="214"/>
      <c r="N6" s="214"/>
      <c r="O6" s="215"/>
      <c r="P6" s="59" t="s">
        <v>71</v>
      </c>
      <c r="Q6" s="24"/>
      <c r="R6" s="57">
        <v>43629</v>
      </c>
      <c r="S6" s="58" t="s">
        <v>73</v>
      </c>
    </row>
    <row r="7" spans="1:19" ht="63.75" customHeight="1" x14ac:dyDescent="0.25">
      <c r="A7" s="149"/>
      <c r="B7" s="146" t="s">
        <v>55</v>
      </c>
      <c r="C7" s="16" t="s">
        <v>28</v>
      </c>
      <c r="D7" s="16" t="s">
        <v>36</v>
      </c>
      <c r="E7" s="44" t="s">
        <v>93</v>
      </c>
      <c r="F7" s="54">
        <v>3</v>
      </c>
      <c r="G7" s="54">
        <v>3</v>
      </c>
      <c r="H7" s="54">
        <v>3</v>
      </c>
      <c r="I7" s="17">
        <v>27</v>
      </c>
      <c r="J7" s="9" t="s">
        <v>29</v>
      </c>
      <c r="K7" s="46" t="s">
        <v>27</v>
      </c>
      <c r="L7" s="219" t="s">
        <v>79</v>
      </c>
      <c r="M7" s="220"/>
      <c r="N7" s="220"/>
      <c r="O7" s="221"/>
      <c r="P7" s="5"/>
      <c r="Q7" s="5"/>
      <c r="R7" s="65" t="s">
        <v>100</v>
      </c>
      <c r="S7" s="6"/>
    </row>
    <row r="8" spans="1:19" ht="60.75" customHeight="1" x14ac:dyDescent="0.25">
      <c r="A8" s="150"/>
      <c r="B8" s="147"/>
      <c r="C8" s="37" t="s">
        <v>83</v>
      </c>
      <c r="D8" s="37" t="s">
        <v>84</v>
      </c>
      <c r="E8" s="43" t="s">
        <v>94</v>
      </c>
      <c r="F8" s="54">
        <v>4</v>
      </c>
      <c r="G8" s="54">
        <v>2</v>
      </c>
      <c r="H8" s="54">
        <v>2</v>
      </c>
      <c r="I8" s="17">
        <v>16</v>
      </c>
      <c r="J8" s="50" t="s">
        <v>85</v>
      </c>
      <c r="K8" s="38" t="s">
        <v>25</v>
      </c>
      <c r="L8" s="210" t="s">
        <v>86</v>
      </c>
      <c r="M8" s="211"/>
      <c r="N8" s="211"/>
      <c r="O8" s="212"/>
      <c r="P8" s="59" t="s">
        <v>71</v>
      </c>
      <c r="Q8" s="39"/>
      <c r="R8" s="66">
        <v>43809</v>
      </c>
      <c r="S8" s="6" t="s">
        <v>73</v>
      </c>
    </row>
    <row r="9" spans="1:19" ht="51" customHeight="1" x14ac:dyDescent="0.25">
      <c r="A9" s="182" t="s">
        <v>60</v>
      </c>
      <c r="B9" s="183"/>
      <c r="C9" s="40" t="s">
        <v>61</v>
      </c>
      <c r="D9" s="24" t="s">
        <v>62</v>
      </c>
      <c r="E9" s="25" t="s">
        <v>46</v>
      </c>
      <c r="F9" s="55">
        <v>4</v>
      </c>
      <c r="G9" s="55">
        <v>3</v>
      </c>
      <c r="H9" s="55">
        <v>2</v>
      </c>
      <c r="I9" s="17">
        <v>24</v>
      </c>
      <c r="J9" s="36" t="s">
        <v>80</v>
      </c>
      <c r="K9" s="25" t="s">
        <v>25</v>
      </c>
      <c r="L9" s="213" t="s">
        <v>81</v>
      </c>
      <c r="M9" s="214"/>
      <c r="N9" s="214"/>
      <c r="O9" s="215"/>
      <c r="P9" s="59" t="s">
        <v>71</v>
      </c>
      <c r="Q9" s="24"/>
      <c r="R9" s="66">
        <v>43809</v>
      </c>
      <c r="S9" s="6" t="s">
        <v>73</v>
      </c>
    </row>
    <row r="10" spans="1:19" ht="78" customHeight="1" x14ac:dyDescent="0.25">
      <c r="A10" s="182" t="s">
        <v>87</v>
      </c>
      <c r="B10" s="183"/>
      <c r="C10" s="40" t="s">
        <v>88</v>
      </c>
      <c r="D10" s="24" t="s">
        <v>89</v>
      </c>
      <c r="E10" s="42" t="s">
        <v>90</v>
      </c>
      <c r="F10" s="55">
        <v>4</v>
      </c>
      <c r="G10" s="55">
        <v>3</v>
      </c>
      <c r="H10" s="55">
        <v>2</v>
      </c>
      <c r="I10" s="17">
        <v>24</v>
      </c>
      <c r="J10" s="10" t="s">
        <v>91</v>
      </c>
      <c r="K10" s="25" t="s">
        <v>25</v>
      </c>
      <c r="L10" s="216" t="s">
        <v>92</v>
      </c>
      <c r="M10" s="217"/>
      <c r="N10" s="217"/>
      <c r="O10" s="218"/>
      <c r="P10" s="24"/>
      <c r="Q10" s="24"/>
      <c r="R10" s="65" t="s">
        <v>100</v>
      </c>
      <c r="S10" s="24"/>
    </row>
    <row r="11" spans="1:19" ht="27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38.25" customHeight="1" x14ac:dyDescent="0.25">
      <c r="A12" s="1"/>
      <c r="B12" s="190" t="s">
        <v>16</v>
      </c>
      <c r="C12" s="191" t="s">
        <v>42</v>
      </c>
      <c r="D12" s="193" t="s">
        <v>65</v>
      </c>
      <c r="E12" s="194"/>
      <c r="F12" s="195" t="s">
        <v>17</v>
      </c>
      <c r="G12" s="196"/>
      <c r="H12" s="196"/>
      <c r="I12" s="196"/>
      <c r="J12" s="196"/>
      <c r="K12" s="196"/>
      <c r="L12" s="197" t="s">
        <v>66</v>
      </c>
      <c r="M12" s="198"/>
      <c r="N12" s="198"/>
      <c r="O12" s="199"/>
      <c r="P12" s="203" t="s">
        <v>67</v>
      </c>
      <c r="Q12" s="204"/>
      <c r="R12" s="204"/>
      <c r="S12" s="205"/>
    </row>
    <row r="13" spans="1:19" ht="60" customHeight="1" x14ac:dyDescent="0.25">
      <c r="A13" s="1"/>
      <c r="B13" s="190"/>
      <c r="C13" s="192"/>
      <c r="D13" s="27" t="s">
        <v>13</v>
      </c>
      <c r="E13" s="27" t="s">
        <v>19</v>
      </c>
      <c r="F13" s="206" t="s">
        <v>18</v>
      </c>
      <c r="G13" s="206"/>
      <c r="H13" s="206"/>
      <c r="I13" s="206"/>
      <c r="J13" s="206"/>
      <c r="K13" s="27" t="s">
        <v>2</v>
      </c>
      <c r="L13" s="200"/>
      <c r="M13" s="201"/>
      <c r="N13" s="201"/>
      <c r="O13" s="202"/>
      <c r="P13" s="26" t="s">
        <v>51</v>
      </c>
      <c r="Q13" s="26" t="s">
        <v>50</v>
      </c>
      <c r="R13" s="26" t="s">
        <v>63</v>
      </c>
      <c r="S13" s="26" t="s">
        <v>64</v>
      </c>
    </row>
    <row r="14" spans="1:19" ht="70.5" customHeight="1" x14ac:dyDescent="0.25">
      <c r="A14" s="1"/>
      <c r="B14" s="28" t="s">
        <v>69</v>
      </c>
      <c r="C14" s="29" t="s">
        <v>48</v>
      </c>
      <c r="D14" s="30" t="s">
        <v>68</v>
      </c>
      <c r="E14" s="29"/>
      <c r="F14" s="207" t="s">
        <v>7</v>
      </c>
      <c r="G14" s="208"/>
      <c r="H14" s="208"/>
      <c r="I14" s="208"/>
      <c r="J14" s="209"/>
      <c r="K14" s="12" t="s">
        <v>25</v>
      </c>
      <c r="L14" s="210" t="s">
        <v>82</v>
      </c>
      <c r="M14" s="211"/>
      <c r="N14" s="211"/>
      <c r="O14" s="212"/>
      <c r="P14" s="31"/>
      <c r="Q14" s="31"/>
      <c r="R14" s="65" t="s">
        <v>100</v>
      </c>
      <c r="S14" s="31"/>
    </row>
  </sheetData>
  <mergeCells count="33">
    <mergeCell ref="B3:C3"/>
    <mergeCell ref="F3:K3"/>
    <mergeCell ref="L3:S3"/>
    <mergeCell ref="B1:C1"/>
    <mergeCell ref="D1:P1"/>
    <mergeCell ref="Q1:S1"/>
    <mergeCell ref="B2:I2"/>
    <mergeCell ref="Q2:S2"/>
    <mergeCell ref="P4:S4"/>
    <mergeCell ref="A6:A8"/>
    <mergeCell ref="A4:B5"/>
    <mergeCell ref="C4:C5"/>
    <mergeCell ref="D4:D5"/>
    <mergeCell ref="E4:E5"/>
    <mergeCell ref="F4:I4"/>
    <mergeCell ref="L4:O5"/>
    <mergeCell ref="L6:O6"/>
    <mergeCell ref="B7:B8"/>
    <mergeCell ref="L7:O7"/>
    <mergeCell ref="L8:O8"/>
    <mergeCell ref="A9:B9"/>
    <mergeCell ref="L9:O9"/>
    <mergeCell ref="P12:S12"/>
    <mergeCell ref="F13:J13"/>
    <mergeCell ref="F14:J14"/>
    <mergeCell ref="L14:O14"/>
    <mergeCell ref="A10:B10"/>
    <mergeCell ref="L10:O10"/>
    <mergeCell ref="B12:B13"/>
    <mergeCell ref="C12:C13"/>
    <mergeCell ref="D12:E12"/>
    <mergeCell ref="F12:K12"/>
    <mergeCell ref="L12:O13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I1" zoomScaleNormal="100" workbookViewId="0">
      <selection activeCell="V6" sqref="V6:V7"/>
    </sheetView>
  </sheetViews>
  <sheetFormatPr baseColWidth="10" defaultRowHeight="15" x14ac:dyDescent="0.25"/>
  <cols>
    <col min="5" max="5" width="17" customWidth="1"/>
    <col min="8" max="8" width="19" customWidth="1"/>
    <col min="9" max="9" width="14" customWidth="1"/>
    <col min="10" max="10" width="17.140625" customWidth="1"/>
    <col min="11" max="11" width="13.42578125" customWidth="1"/>
    <col min="14" max="14" width="17.28515625" customWidth="1"/>
    <col min="19" max="19" width="6.140625" customWidth="1"/>
    <col min="22" max="22" width="19.28515625" customWidth="1"/>
  </cols>
  <sheetData>
    <row r="1" spans="1:23" ht="74.25" customHeight="1" x14ac:dyDescent="0.25">
      <c r="A1" s="67"/>
      <c r="B1" s="235" t="s">
        <v>102</v>
      </c>
      <c r="C1" s="235"/>
      <c r="D1" s="235"/>
      <c r="E1" s="236" t="s">
        <v>132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  <c r="U1" s="239" t="s">
        <v>103</v>
      </c>
      <c r="V1" s="240"/>
      <c r="W1" s="241"/>
    </row>
    <row r="2" spans="1:23" ht="24" customHeight="1" x14ac:dyDescent="0.25">
      <c r="A2" s="67"/>
      <c r="B2" s="68" t="s">
        <v>115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  <c r="O2" s="70"/>
      <c r="P2" s="71"/>
      <c r="Q2" s="71"/>
      <c r="R2" s="71"/>
      <c r="S2" s="242" t="s">
        <v>127</v>
      </c>
      <c r="T2" s="242"/>
      <c r="U2" s="242"/>
      <c r="V2" s="242"/>
      <c r="W2" s="242"/>
    </row>
    <row r="3" spans="1:23" ht="30.75" customHeight="1" x14ac:dyDescent="0.25">
      <c r="A3" s="67"/>
      <c r="B3" s="243" t="s">
        <v>116</v>
      </c>
      <c r="C3" s="243"/>
      <c r="D3" s="244"/>
      <c r="E3" s="72"/>
      <c r="F3" s="72"/>
      <c r="G3" s="72"/>
      <c r="H3" s="72"/>
      <c r="I3" s="72"/>
      <c r="J3" s="72"/>
      <c r="K3" s="72"/>
      <c r="L3" s="72"/>
      <c r="M3" s="72"/>
      <c r="N3" s="245" t="s">
        <v>17</v>
      </c>
      <c r="O3" s="246"/>
      <c r="P3" s="247" t="s">
        <v>104</v>
      </c>
      <c r="Q3" s="248"/>
      <c r="R3" s="248"/>
      <c r="S3" s="248"/>
      <c r="T3" s="248"/>
      <c r="U3" s="248"/>
      <c r="V3" s="248"/>
      <c r="W3" s="249"/>
    </row>
    <row r="4" spans="1:23" ht="25.5" x14ac:dyDescent="0.25">
      <c r="A4" s="225" t="s">
        <v>59</v>
      </c>
      <c r="B4" s="225"/>
      <c r="C4" s="226" t="s">
        <v>0</v>
      </c>
      <c r="D4" s="227"/>
      <c r="E4" s="222" t="s">
        <v>41</v>
      </c>
      <c r="F4" s="224"/>
      <c r="G4" s="230" t="s">
        <v>105</v>
      </c>
      <c r="H4" s="225" t="s">
        <v>43</v>
      </c>
      <c r="I4" s="230" t="s">
        <v>106</v>
      </c>
      <c r="J4" s="222" t="s">
        <v>107</v>
      </c>
      <c r="K4" s="224"/>
      <c r="L4" s="230" t="s">
        <v>108</v>
      </c>
      <c r="M4" s="73" t="s">
        <v>109</v>
      </c>
      <c r="N4" s="230" t="s">
        <v>1</v>
      </c>
      <c r="O4" s="225" t="s">
        <v>2</v>
      </c>
      <c r="P4" s="226" t="s">
        <v>49</v>
      </c>
      <c r="Q4" s="233"/>
      <c r="R4" s="233"/>
      <c r="S4" s="227"/>
      <c r="T4" s="222" t="s">
        <v>67</v>
      </c>
      <c r="U4" s="223"/>
      <c r="V4" s="223"/>
      <c r="W4" s="224"/>
    </row>
    <row r="5" spans="1:23" x14ac:dyDescent="0.25">
      <c r="A5" s="225"/>
      <c r="B5" s="225"/>
      <c r="C5" s="228"/>
      <c r="D5" s="229"/>
      <c r="E5" s="74" t="s">
        <v>110</v>
      </c>
      <c r="F5" s="74" t="s">
        <v>111</v>
      </c>
      <c r="G5" s="231"/>
      <c r="H5" s="225"/>
      <c r="I5" s="231"/>
      <c r="J5" s="90" t="s">
        <v>112</v>
      </c>
      <c r="K5" s="90" t="s">
        <v>113</v>
      </c>
      <c r="L5" s="231"/>
      <c r="M5" s="75" t="s">
        <v>6</v>
      </c>
      <c r="N5" s="232"/>
      <c r="O5" s="230"/>
      <c r="P5" s="228"/>
      <c r="Q5" s="234"/>
      <c r="R5" s="234"/>
      <c r="S5" s="229"/>
      <c r="T5" s="73" t="s">
        <v>13</v>
      </c>
      <c r="U5" s="73" t="s">
        <v>19</v>
      </c>
      <c r="V5" s="103" t="s">
        <v>140</v>
      </c>
      <c r="W5" s="73" t="s">
        <v>64</v>
      </c>
    </row>
    <row r="6" spans="1:23" ht="63.75" x14ac:dyDescent="0.25">
      <c r="A6" s="61" t="s">
        <v>99</v>
      </c>
      <c r="B6" s="63" t="s">
        <v>55</v>
      </c>
      <c r="C6" s="250" t="s">
        <v>28</v>
      </c>
      <c r="D6" s="251"/>
      <c r="E6" s="60" t="s">
        <v>93</v>
      </c>
      <c r="F6" s="76" t="s">
        <v>130</v>
      </c>
      <c r="G6" s="101">
        <v>3</v>
      </c>
      <c r="H6" s="16" t="s">
        <v>36</v>
      </c>
      <c r="I6" s="102">
        <v>3</v>
      </c>
      <c r="J6" s="40" t="s">
        <v>142</v>
      </c>
      <c r="K6" s="40" t="s">
        <v>143</v>
      </c>
      <c r="L6" s="93">
        <v>3</v>
      </c>
      <c r="M6" s="77">
        <f>G6*I6*L6</f>
        <v>27</v>
      </c>
      <c r="N6" s="9" t="s">
        <v>29</v>
      </c>
      <c r="O6" s="64" t="s">
        <v>27</v>
      </c>
      <c r="P6" s="213" t="s">
        <v>79</v>
      </c>
      <c r="Q6" s="214"/>
      <c r="R6" s="214"/>
      <c r="S6" s="215"/>
      <c r="T6" s="78" t="s">
        <v>68</v>
      </c>
      <c r="U6" s="78"/>
      <c r="V6" s="91">
        <v>44174</v>
      </c>
      <c r="W6" s="78" t="s">
        <v>25</v>
      </c>
    </row>
    <row r="7" spans="1:23" ht="64.5" customHeight="1" x14ac:dyDescent="0.25">
      <c r="A7" s="182" t="s">
        <v>87</v>
      </c>
      <c r="B7" s="183"/>
      <c r="C7" s="252" t="s">
        <v>88</v>
      </c>
      <c r="D7" s="253"/>
      <c r="E7" s="42" t="s">
        <v>90</v>
      </c>
      <c r="F7" s="76"/>
      <c r="G7" s="32">
        <v>4</v>
      </c>
      <c r="H7" s="40" t="s">
        <v>89</v>
      </c>
      <c r="I7" s="102">
        <v>3</v>
      </c>
      <c r="J7" s="40" t="s">
        <v>145</v>
      </c>
      <c r="K7" s="40" t="s">
        <v>144</v>
      </c>
      <c r="L7" s="102">
        <v>2</v>
      </c>
      <c r="M7" s="77">
        <f>G7*I7*L7</f>
        <v>24</v>
      </c>
      <c r="N7" s="40" t="s">
        <v>91</v>
      </c>
      <c r="O7" s="25" t="s">
        <v>25</v>
      </c>
      <c r="P7" s="216" t="s">
        <v>92</v>
      </c>
      <c r="Q7" s="217"/>
      <c r="R7" s="217"/>
      <c r="S7" s="218"/>
      <c r="T7" s="78" t="s">
        <v>68</v>
      </c>
      <c r="U7" s="79"/>
      <c r="V7" s="91">
        <v>44145</v>
      </c>
      <c r="W7" s="78" t="s">
        <v>27</v>
      </c>
    </row>
    <row r="8" spans="1:23" ht="108" customHeight="1" x14ac:dyDescent="0.25">
      <c r="A8" s="269" t="s">
        <v>141</v>
      </c>
      <c r="B8" s="270"/>
      <c r="C8" s="252" t="s">
        <v>117</v>
      </c>
      <c r="D8" s="253"/>
      <c r="E8" s="40" t="s">
        <v>131</v>
      </c>
      <c r="F8" s="40" t="s">
        <v>130</v>
      </c>
      <c r="G8" s="97">
        <v>3</v>
      </c>
      <c r="H8" s="40" t="s">
        <v>120</v>
      </c>
      <c r="I8" s="97">
        <v>2</v>
      </c>
      <c r="J8" s="40" t="s">
        <v>128</v>
      </c>
      <c r="K8" s="40" t="s">
        <v>144</v>
      </c>
      <c r="L8" s="97">
        <v>3</v>
      </c>
      <c r="M8" s="98">
        <v>18</v>
      </c>
      <c r="N8" s="40" t="s">
        <v>121</v>
      </c>
      <c r="O8" s="76" t="s">
        <v>25</v>
      </c>
      <c r="P8" s="216" t="s">
        <v>125</v>
      </c>
      <c r="Q8" s="217"/>
      <c r="R8" s="217"/>
      <c r="S8" s="218"/>
      <c r="T8" s="79"/>
      <c r="U8" s="79"/>
      <c r="V8" s="91" t="s">
        <v>136</v>
      </c>
      <c r="W8" s="80"/>
    </row>
    <row r="9" spans="1:23" ht="78.75" customHeight="1" x14ac:dyDescent="0.25">
      <c r="A9" s="269" t="s">
        <v>124</v>
      </c>
      <c r="B9" s="270"/>
      <c r="C9" s="252" t="s">
        <v>122</v>
      </c>
      <c r="D9" s="253"/>
      <c r="E9" s="40" t="s">
        <v>118</v>
      </c>
      <c r="F9" s="40" t="s">
        <v>130</v>
      </c>
      <c r="G9" s="97">
        <v>4</v>
      </c>
      <c r="H9" s="40" t="s">
        <v>119</v>
      </c>
      <c r="I9" s="97">
        <v>1</v>
      </c>
      <c r="J9" s="40" t="s">
        <v>129</v>
      </c>
      <c r="K9" s="40" t="s">
        <v>144</v>
      </c>
      <c r="L9" s="97">
        <v>1</v>
      </c>
      <c r="M9" s="99">
        <v>4</v>
      </c>
      <c r="N9" s="40" t="s">
        <v>123</v>
      </c>
      <c r="O9" s="76" t="s">
        <v>25</v>
      </c>
      <c r="P9" s="267" t="s">
        <v>126</v>
      </c>
      <c r="Q9" s="156"/>
      <c r="R9" s="156"/>
      <c r="S9" s="268"/>
      <c r="T9" s="81"/>
      <c r="U9" s="81"/>
      <c r="V9" s="100" t="s">
        <v>137</v>
      </c>
      <c r="W9" s="81"/>
    </row>
    <row r="10" spans="1:2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</row>
    <row r="11" spans="1:23" ht="15.75" x14ac:dyDescent="0.25">
      <c r="A11" s="67"/>
      <c r="B11" s="260" t="s">
        <v>16</v>
      </c>
      <c r="C11" s="260" t="s">
        <v>42</v>
      </c>
      <c r="D11" s="260"/>
      <c r="E11" s="260" t="s">
        <v>65</v>
      </c>
      <c r="F11" s="260"/>
      <c r="G11" s="260" t="s">
        <v>17</v>
      </c>
      <c r="H11" s="260"/>
      <c r="I11" s="260"/>
      <c r="J11" s="261" t="s">
        <v>66</v>
      </c>
      <c r="K11" s="262"/>
      <c r="L11" s="263"/>
      <c r="M11" s="157" t="s">
        <v>67</v>
      </c>
      <c r="N11" s="157"/>
      <c r="O11" s="157"/>
      <c r="P11" s="157"/>
      <c r="S11" s="82"/>
      <c r="T11" s="254"/>
      <c r="U11" s="254"/>
      <c r="V11" s="254"/>
      <c r="W11" s="254"/>
    </row>
    <row r="12" spans="1:23" ht="31.5" x14ac:dyDescent="0.25">
      <c r="A12" s="67"/>
      <c r="B12" s="260"/>
      <c r="C12" s="83" t="s">
        <v>110</v>
      </c>
      <c r="D12" s="83" t="s">
        <v>111</v>
      </c>
      <c r="E12" s="84" t="s">
        <v>13</v>
      </c>
      <c r="F12" s="84" t="s">
        <v>19</v>
      </c>
      <c r="G12" s="255" t="s">
        <v>1</v>
      </c>
      <c r="H12" s="256"/>
      <c r="I12" s="85" t="s">
        <v>114</v>
      </c>
      <c r="J12" s="264"/>
      <c r="K12" s="265"/>
      <c r="L12" s="266"/>
      <c r="M12" s="62" t="s">
        <v>51</v>
      </c>
      <c r="N12" s="62" t="s">
        <v>50</v>
      </c>
      <c r="O12" s="62" t="s">
        <v>63</v>
      </c>
      <c r="P12" s="62" t="s">
        <v>64</v>
      </c>
      <c r="Q12" s="82"/>
      <c r="S12" s="82"/>
      <c r="T12" s="86"/>
      <c r="U12" s="86"/>
      <c r="V12" s="86"/>
      <c r="W12" s="86"/>
    </row>
    <row r="13" spans="1:23" ht="110.25" x14ac:dyDescent="0.25">
      <c r="A13" s="67"/>
      <c r="B13" s="28" t="s">
        <v>101</v>
      </c>
      <c r="C13" s="29" t="s">
        <v>48</v>
      </c>
      <c r="D13" s="29"/>
      <c r="E13" s="30" t="s">
        <v>71</v>
      </c>
      <c r="F13" s="30"/>
      <c r="G13" s="257" t="s">
        <v>7</v>
      </c>
      <c r="H13" s="258"/>
      <c r="I13" s="30" t="s">
        <v>25</v>
      </c>
      <c r="J13" s="257" t="s">
        <v>82</v>
      </c>
      <c r="K13" s="259"/>
      <c r="L13" s="258"/>
      <c r="M13" s="29"/>
      <c r="N13" s="87"/>
      <c r="O13" s="12"/>
      <c r="P13" s="31"/>
      <c r="Q13" s="88"/>
      <c r="S13" s="88"/>
      <c r="T13" s="89"/>
      <c r="U13" s="89"/>
      <c r="V13" s="89"/>
      <c r="W13" s="89"/>
    </row>
  </sheetData>
  <mergeCells count="40">
    <mergeCell ref="T11:W11"/>
    <mergeCell ref="G12:H12"/>
    <mergeCell ref="G13:H13"/>
    <mergeCell ref="J13:L13"/>
    <mergeCell ref="A7:B7"/>
    <mergeCell ref="B11:B12"/>
    <mergeCell ref="C11:D11"/>
    <mergeCell ref="E11:F11"/>
    <mergeCell ref="G11:I11"/>
    <mergeCell ref="J11:L12"/>
    <mergeCell ref="M11:P11"/>
    <mergeCell ref="C9:D9"/>
    <mergeCell ref="P9:S9"/>
    <mergeCell ref="A8:B8"/>
    <mergeCell ref="A9:B9"/>
    <mergeCell ref="C6:D6"/>
    <mergeCell ref="P6:S6"/>
    <mergeCell ref="C7:D7"/>
    <mergeCell ref="P7:S7"/>
    <mergeCell ref="C8:D8"/>
    <mergeCell ref="P8:S8"/>
    <mergeCell ref="B1:D1"/>
    <mergeCell ref="E1:T1"/>
    <mergeCell ref="U1:W1"/>
    <mergeCell ref="S2:W2"/>
    <mergeCell ref="B3:D3"/>
    <mergeCell ref="N3:O3"/>
    <mergeCell ref="P3:W3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G1" zoomScaleNormal="100" workbookViewId="0">
      <selection activeCell="J17" sqref="J17:J18"/>
    </sheetView>
  </sheetViews>
  <sheetFormatPr baseColWidth="10" defaultRowHeight="15" x14ac:dyDescent="0.25"/>
  <cols>
    <col min="2" max="2" width="24.7109375" customWidth="1"/>
    <col min="3" max="3" width="16.85546875" customWidth="1"/>
    <col min="5" max="5" width="17" customWidth="1"/>
    <col min="6" max="6" width="13.5703125" customWidth="1"/>
    <col min="8" max="8" width="19" customWidth="1"/>
    <col min="9" max="9" width="14" customWidth="1"/>
    <col min="10" max="10" width="17.140625" customWidth="1"/>
    <col min="11" max="11" width="14" customWidth="1"/>
    <col min="12" max="12" width="13.5703125" customWidth="1"/>
    <col min="13" max="13" width="13.85546875" customWidth="1"/>
    <col min="14" max="14" width="17.28515625" customWidth="1"/>
    <col min="15" max="15" width="14.28515625" customWidth="1"/>
    <col min="19" max="19" width="6.140625" customWidth="1"/>
    <col min="22" max="22" width="19.28515625" customWidth="1"/>
  </cols>
  <sheetData>
    <row r="1" spans="1:23" ht="75.75" customHeight="1" x14ac:dyDescent="0.25">
      <c r="A1" s="67"/>
      <c r="B1" s="281" t="s">
        <v>146</v>
      </c>
      <c r="C1" s="281"/>
      <c r="D1" s="281"/>
      <c r="E1" s="236" t="s">
        <v>135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  <c r="U1" s="239" t="s">
        <v>103</v>
      </c>
      <c r="V1" s="240"/>
      <c r="W1" s="241"/>
    </row>
    <row r="2" spans="1:23" ht="24" customHeight="1" x14ac:dyDescent="0.25">
      <c r="A2" s="67"/>
      <c r="B2" s="112" t="s">
        <v>115</v>
      </c>
      <c r="C2" s="112"/>
      <c r="D2" s="112"/>
      <c r="E2" s="68"/>
      <c r="F2" s="68"/>
      <c r="G2" s="68"/>
      <c r="H2" s="68"/>
      <c r="I2" s="68"/>
      <c r="J2" s="68"/>
      <c r="K2" s="68"/>
      <c r="L2" s="68"/>
      <c r="M2" s="68"/>
      <c r="N2" s="69"/>
      <c r="O2" s="70"/>
      <c r="P2" s="71"/>
      <c r="Q2" s="71"/>
      <c r="R2" s="71"/>
      <c r="S2" s="282" t="s">
        <v>147</v>
      </c>
      <c r="T2" s="282"/>
      <c r="U2" s="282"/>
      <c r="V2" s="282"/>
      <c r="W2" s="282"/>
    </row>
    <row r="3" spans="1:23" ht="30.75" customHeight="1" x14ac:dyDescent="0.25">
      <c r="A3" s="67"/>
      <c r="B3" s="283" t="s">
        <v>116</v>
      </c>
      <c r="C3" s="283"/>
      <c r="D3" s="284"/>
      <c r="E3" s="96"/>
      <c r="F3" s="96"/>
      <c r="G3" s="96"/>
      <c r="H3" s="96"/>
      <c r="I3" s="96"/>
      <c r="J3" s="96"/>
      <c r="K3" s="96"/>
      <c r="L3" s="96"/>
      <c r="M3" s="96"/>
      <c r="N3" s="285" t="s">
        <v>17</v>
      </c>
      <c r="O3" s="286"/>
      <c r="P3" s="287" t="s">
        <v>104</v>
      </c>
      <c r="Q3" s="288"/>
      <c r="R3" s="288"/>
      <c r="S3" s="288"/>
      <c r="T3" s="288"/>
      <c r="U3" s="288"/>
      <c r="V3" s="288"/>
      <c r="W3" s="289"/>
    </row>
    <row r="4" spans="1:23" ht="30" x14ac:dyDescent="0.25">
      <c r="A4" s="293" t="s">
        <v>59</v>
      </c>
      <c r="B4" s="293"/>
      <c r="C4" s="294" t="s">
        <v>0</v>
      </c>
      <c r="D4" s="295"/>
      <c r="E4" s="298" t="s">
        <v>41</v>
      </c>
      <c r="F4" s="299"/>
      <c r="G4" s="300" t="s">
        <v>105</v>
      </c>
      <c r="H4" s="293" t="s">
        <v>43</v>
      </c>
      <c r="I4" s="300" t="s">
        <v>106</v>
      </c>
      <c r="J4" s="298" t="s">
        <v>107</v>
      </c>
      <c r="K4" s="299"/>
      <c r="L4" s="300" t="s">
        <v>108</v>
      </c>
      <c r="M4" s="104" t="s">
        <v>109</v>
      </c>
      <c r="N4" s="300" t="s">
        <v>1</v>
      </c>
      <c r="O4" s="306" t="s">
        <v>2</v>
      </c>
      <c r="P4" s="308" t="s">
        <v>49</v>
      </c>
      <c r="Q4" s="309"/>
      <c r="R4" s="309"/>
      <c r="S4" s="310"/>
      <c r="T4" s="290" t="s">
        <v>67</v>
      </c>
      <c r="U4" s="291"/>
      <c r="V4" s="291"/>
      <c r="W4" s="292"/>
    </row>
    <row r="5" spans="1:23" ht="18.75" x14ac:dyDescent="0.25">
      <c r="A5" s="293"/>
      <c r="B5" s="293"/>
      <c r="C5" s="296"/>
      <c r="D5" s="297"/>
      <c r="E5" s="105" t="s">
        <v>110</v>
      </c>
      <c r="F5" s="105" t="s">
        <v>111</v>
      </c>
      <c r="G5" s="301"/>
      <c r="H5" s="293"/>
      <c r="I5" s="301"/>
      <c r="J5" s="106" t="s">
        <v>112</v>
      </c>
      <c r="K5" s="106" t="s">
        <v>113</v>
      </c>
      <c r="L5" s="301"/>
      <c r="M5" s="107" t="s">
        <v>6</v>
      </c>
      <c r="N5" s="305"/>
      <c r="O5" s="307"/>
      <c r="P5" s="311"/>
      <c r="Q5" s="312"/>
      <c r="R5" s="312"/>
      <c r="S5" s="313"/>
      <c r="T5" s="111" t="s">
        <v>13</v>
      </c>
      <c r="U5" s="111" t="s">
        <v>19</v>
      </c>
      <c r="V5" s="111" t="s">
        <v>140</v>
      </c>
      <c r="W5" s="111" t="s">
        <v>64</v>
      </c>
    </row>
    <row r="6" spans="1:23" ht="168" customHeight="1" x14ac:dyDescent="0.25">
      <c r="A6" s="271" t="s">
        <v>139</v>
      </c>
      <c r="B6" s="272"/>
      <c r="C6" s="274" t="s">
        <v>138</v>
      </c>
      <c r="D6" s="275"/>
      <c r="E6" s="108" t="s">
        <v>131</v>
      </c>
      <c r="F6" s="108" t="s">
        <v>130</v>
      </c>
      <c r="G6" s="97">
        <v>3</v>
      </c>
      <c r="H6" s="108" t="s">
        <v>120</v>
      </c>
      <c r="I6" s="97">
        <v>2</v>
      </c>
      <c r="J6" s="108" t="s">
        <v>128</v>
      </c>
      <c r="K6" s="108" t="s">
        <v>144</v>
      </c>
      <c r="L6" s="97">
        <v>3</v>
      </c>
      <c r="M6" s="98">
        <v>18</v>
      </c>
      <c r="N6" s="108" t="s">
        <v>121</v>
      </c>
      <c r="O6" s="109" t="s">
        <v>25</v>
      </c>
      <c r="P6" s="302" t="s">
        <v>125</v>
      </c>
      <c r="Q6" s="303"/>
      <c r="R6" s="303"/>
      <c r="S6" s="304"/>
      <c r="T6" s="79" t="s">
        <v>71</v>
      </c>
      <c r="U6" s="79"/>
      <c r="V6" s="91">
        <v>44555</v>
      </c>
      <c r="W6" s="80" t="s">
        <v>73</v>
      </c>
    </row>
    <row r="7" spans="1:23" ht="168" customHeight="1" x14ac:dyDescent="0.25">
      <c r="A7" s="271" t="s">
        <v>124</v>
      </c>
      <c r="B7" s="272"/>
      <c r="C7" s="274" t="s">
        <v>122</v>
      </c>
      <c r="D7" s="275"/>
      <c r="E7" s="108" t="s">
        <v>159</v>
      </c>
      <c r="F7" s="108" t="s">
        <v>130</v>
      </c>
      <c r="G7" s="122">
        <v>4</v>
      </c>
      <c r="H7" s="108" t="s">
        <v>119</v>
      </c>
      <c r="I7" s="97">
        <v>1</v>
      </c>
      <c r="J7" s="108" t="s">
        <v>129</v>
      </c>
      <c r="K7" s="108" t="s">
        <v>144</v>
      </c>
      <c r="L7" s="97">
        <v>1</v>
      </c>
      <c r="M7" s="99">
        <v>4</v>
      </c>
      <c r="N7" s="108" t="s">
        <v>123</v>
      </c>
      <c r="O7" s="109" t="s">
        <v>25</v>
      </c>
      <c r="P7" s="277" t="s">
        <v>126</v>
      </c>
      <c r="Q7" s="278"/>
      <c r="R7" s="278"/>
      <c r="S7" s="279"/>
      <c r="T7" s="81" t="s">
        <v>71</v>
      </c>
      <c r="U7" s="81"/>
      <c r="V7" s="100">
        <v>44555</v>
      </c>
      <c r="W7" s="81" t="s">
        <v>73</v>
      </c>
    </row>
    <row r="8" spans="1:23" ht="114.75" customHeight="1" x14ac:dyDescent="0.25">
      <c r="A8" s="273" t="s">
        <v>148</v>
      </c>
      <c r="B8" s="273"/>
      <c r="C8" s="276" t="s">
        <v>155</v>
      </c>
      <c r="D8" s="276"/>
      <c r="E8" s="108" t="s">
        <v>157</v>
      </c>
      <c r="F8" s="108" t="s">
        <v>130</v>
      </c>
      <c r="G8" s="97">
        <v>3</v>
      </c>
      <c r="H8" s="108" t="s">
        <v>149</v>
      </c>
      <c r="I8" s="97">
        <v>2</v>
      </c>
      <c r="J8" s="108" t="s">
        <v>150</v>
      </c>
      <c r="K8" s="108" t="s">
        <v>151</v>
      </c>
      <c r="L8" s="97">
        <v>2</v>
      </c>
      <c r="M8" s="99">
        <v>12</v>
      </c>
      <c r="N8" s="108" t="s">
        <v>152</v>
      </c>
      <c r="O8" s="121" t="s">
        <v>25</v>
      </c>
      <c r="P8" s="280"/>
      <c r="Q8" s="280"/>
      <c r="R8" s="280"/>
      <c r="S8" s="280"/>
      <c r="T8" s="79"/>
      <c r="U8" s="79"/>
      <c r="V8" s="100" t="s">
        <v>167</v>
      </c>
      <c r="W8" s="80"/>
    </row>
    <row r="9" spans="1:23" ht="99" customHeight="1" x14ac:dyDescent="0.25">
      <c r="A9" s="273" t="s">
        <v>153</v>
      </c>
      <c r="B9" s="273"/>
      <c r="C9" s="276" t="s">
        <v>156</v>
      </c>
      <c r="D9" s="276"/>
      <c r="E9" s="108" t="s">
        <v>158</v>
      </c>
      <c r="F9" s="108" t="s">
        <v>130</v>
      </c>
      <c r="G9" s="97">
        <v>3</v>
      </c>
      <c r="H9" s="108" t="s">
        <v>154</v>
      </c>
      <c r="I9" s="97">
        <v>2</v>
      </c>
      <c r="J9" s="108" t="s">
        <v>162</v>
      </c>
      <c r="K9" s="108" t="s">
        <v>160</v>
      </c>
      <c r="L9" s="97">
        <v>2</v>
      </c>
      <c r="M9" s="99">
        <v>12</v>
      </c>
      <c r="N9" s="108" t="s">
        <v>161</v>
      </c>
      <c r="O9" s="121" t="s">
        <v>25</v>
      </c>
      <c r="P9" s="280"/>
      <c r="Q9" s="280"/>
      <c r="R9" s="280"/>
      <c r="S9" s="280"/>
      <c r="T9" s="79"/>
      <c r="U9" s="79"/>
      <c r="V9" s="100" t="s">
        <v>167</v>
      </c>
      <c r="W9" s="80"/>
    </row>
    <row r="10" spans="1:2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</row>
    <row r="11" spans="1:23" ht="15.75" x14ac:dyDescent="0.25">
      <c r="A11" s="67"/>
      <c r="B11" s="260" t="s">
        <v>16</v>
      </c>
      <c r="C11" s="260" t="s">
        <v>42</v>
      </c>
      <c r="D11" s="260"/>
      <c r="E11" s="260" t="s">
        <v>65</v>
      </c>
      <c r="F11" s="260"/>
      <c r="G11" s="260" t="s">
        <v>17</v>
      </c>
      <c r="H11" s="260"/>
      <c r="I11" s="260"/>
      <c r="J11" s="261" t="s">
        <v>66</v>
      </c>
      <c r="K11" s="262"/>
      <c r="L11" s="263"/>
      <c r="M11" s="157" t="s">
        <v>67</v>
      </c>
      <c r="N11" s="157"/>
      <c r="O11" s="157"/>
      <c r="P11" s="157"/>
      <c r="S11" s="82"/>
      <c r="T11" s="254"/>
      <c r="U11" s="254"/>
      <c r="V11" s="254"/>
      <c r="W11" s="254"/>
    </row>
    <row r="12" spans="1:23" ht="42.75" customHeight="1" x14ac:dyDescent="0.25">
      <c r="A12" s="67"/>
      <c r="B12" s="260"/>
      <c r="C12" s="83" t="s">
        <v>110</v>
      </c>
      <c r="D12" s="83" t="s">
        <v>111</v>
      </c>
      <c r="E12" s="84" t="s">
        <v>13</v>
      </c>
      <c r="F12" s="84" t="s">
        <v>19</v>
      </c>
      <c r="G12" s="255" t="s">
        <v>1</v>
      </c>
      <c r="H12" s="256"/>
      <c r="I12" s="85" t="s">
        <v>114</v>
      </c>
      <c r="J12" s="264"/>
      <c r="K12" s="265"/>
      <c r="L12" s="266"/>
      <c r="M12" s="92" t="s">
        <v>51</v>
      </c>
      <c r="N12" s="92" t="s">
        <v>50</v>
      </c>
      <c r="O12" s="92" t="s">
        <v>63</v>
      </c>
      <c r="P12" s="92" t="s">
        <v>64</v>
      </c>
      <c r="Q12" s="82"/>
      <c r="S12" s="82"/>
      <c r="T12" s="94"/>
      <c r="U12" s="94"/>
      <c r="V12" s="94"/>
      <c r="W12" s="94"/>
    </row>
    <row r="13" spans="1:23" ht="117" customHeight="1" x14ac:dyDescent="0.25">
      <c r="A13" s="67"/>
      <c r="B13" s="136" t="s">
        <v>101</v>
      </c>
      <c r="C13" s="122" t="s">
        <v>48</v>
      </c>
      <c r="D13" s="12"/>
      <c r="E13" s="135" t="s">
        <v>71</v>
      </c>
      <c r="F13" s="95"/>
      <c r="G13" s="314" t="s">
        <v>7</v>
      </c>
      <c r="H13" s="315"/>
      <c r="I13" s="135" t="s">
        <v>25</v>
      </c>
      <c r="J13" s="314" t="s">
        <v>82</v>
      </c>
      <c r="K13" s="316"/>
      <c r="L13" s="315"/>
      <c r="M13" s="12" t="s">
        <v>71</v>
      </c>
      <c r="N13" s="87"/>
      <c r="O13" s="113">
        <v>44555</v>
      </c>
      <c r="P13" s="134" t="s">
        <v>73</v>
      </c>
      <c r="Q13" s="88"/>
      <c r="S13" s="88"/>
      <c r="T13" s="89"/>
      <c r="U13" s="89"/>
      <c r="V13" s="89"/>
      <c r="W13" s="89"/>
    </row>
  </sheetData>
  <mergeCells count="41">
    <mergeCell ref="T11:W11"/>
    <mergeCell ref="G12:H12"/>
    <mergeCell ref="G13:H13"/>
    <mergeCell ref="J13:L13"/>
    <mergeCell ref="A9:B9"/>
    <mergeCell ref="C9:D9"/>
    <mergeCell ref="P9:S9"/>
    <mergeCell ref="B11:B12"/>
    <mergeCell ref="C11:D11"/>
    <mergeCell ref="E11:F11"/>
    <mergeCell ref="G11:I11"/>
    <mergeCell ref="J11:L12"/>
    <mergeCell ref="M11:P11"/>
    <mergeCell ref="A6:B6"/>
    <mergeCell ref="C6:D6"/>
    <mergeCell ref="P6:S6"/>
    <mergeCell ref="J4:K4"/>
    <mergeCell ref="L4:L5"/>
    <mergeCell ref="N4:N5"/>
    <mergeCell ref="O4:O5"/>
    <mergeCell ref="P4:S5"/>
    <mergeCell ref="T4:W4"/>
    <mergeCell ref="A4:B5"/>
    <mergeCell ref="C4:D5"/>
    <mergeCell ref="E4:F4"/>
    <mergeCell ref="G4:G5"/>
    <mergeCell ref="H4:H5"/>
    <mergeCell ref="I4:I5"/>
    <mergeCell ref="B1:D1"/>
    <mergeCell ref="E1:T1"/>
    <mergeCell ref="U1:W1"/>
    <mergeCell ref="S2:W2"/>
    <mergeCell ref="B3:D3"/>
    <mergeCell ref="N3:O3"/>
    <mergeCell ref="P3:W3"/>
    <mergeCell ref="A7:B7"/>
    <mergeCell ref="A8:B8"/>
    <mergeCell ref="C7:D7"/>
    <mergeCell ref="C8:D8"/>
    <mergeCell ref="P7:S7"/>
    <mergeCell ref="P8:S8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topLeftCell="H1" zoomScaleNormal="100" workbookViewId="0">
      <selection activeCell="V7" sqref="V7"/>
    </sheetView>
  </sheetViews>
  <sheetFormatPr baseColWidth="10" defaultRowHeight="15" x14ac:dyDescent="0.25"/>
  <cols>
    <col min="2" max="2" width="24.7109375" customWidth="1"/>
    <col min="3" max="3" width="16.85546875" customWidth="1"/>
    <col min="5" max="5" width="17" customWidth="1"/>
    <col min="6" max="6" width="13.5703125" customWidth="1"/>
    <col min="8" max="8" width="19" customWidth="1"/>
    <col min="9" max="9" width="14" customWidth="1"/>
    <col min="10" max="10" width="17.140625" customWidth="1"/>
    <col min="11" max="11" width="14" customWidth="1"/>
    <col min="12" max="12" width="13.5703125" customWidth="1"/>
    <col min="13" max="13" width="13.85546875" customWidth="1"/>
    <col min="14" max="14" width="21.28515625" customWidth="1"/>
    <col min="15" max="15" width="14.28515625" customWidth="1"/>
    <col min="19" max="19" width="6.140625" customWidth="1"/>
    <col min="22" max="22" width="19.28515625" customWidth="1"/>
  </cols>
  <sheetData>
    <row r="1" spans="1:23" ht="75.75" customHeight="1" x14ac:dyDescent="0.25">
      <c r="A1" s="67"/>
      <c r="B1" s="281" t="s">
        <v>146</v>
      </c>
      <c r="C1" s="281"/>
      <c r="D1" s="281"/>
      <c r="E1" s="236" t="s">
        <v>163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  <c r="U1" s="239" t="s">
        <v>103</v>
      </c>
      <c r="V1" s="240"/>
      <c r="W1" s="241"/>
    </row>
    <row r="2" spans="1:23" ht="24" customHeight="1" x14ac:dyDescent="0.25">
      <c r="A2" s="67"/>
      <c r="B2" s="112" t="s">
        <v>115</v>
      </c>
      <c r="C2" s="112"/>
      <c r="D2" s="112"/>
      <c r="E2" s="68"/>
      <c r="F2" s="68"/>
      <c r="G2" s="68"/>
      <c r="H2" s="68"/>
      <c r="I2" s="68"/>
      <c r="J2" s="68"/>
      <c r="K2" s="68"/>
      <c r="L2" s="68"/>
      <c r="M2" s="68"/>
      <c r="N2" s="69"/>
      <c r="O2" s="70"/>
      <c r="P2" s="71"/>
      <c r="Q2" s="71"/>
      <c r="R2" s="71"/>
      <c r="S2" s="282" t="s">
        <v>169</v>
      </c>
      <c r="T2" s="282"/>
      <c r="U2" s="282"/>
      <c r="V2" s="282"/>
      <c r="W2" s="282"/>
    </row>
    <row r="3" spans="1:23" ht="30.75" customHeight="1" x14ac:dyDescent="0.25">
      <c r="A3" s="67"/>
      <c r="B3" s="283" t="s">
        <v>116</v>
      </c>
      <c r="C3" s="283"/>
      <c r="D3" s="284"/>
      <c r="E3" s="115"/>
      <c r="F3" s="115"/>
      <c r="G3" s="115"/>
      <c r="H3" s="115"/>
      <c r="I3" s="115"/>
      <c r="J3" s="115"/>
      <c r="K3" s="115"/>
      <c r="L3" s="115"/>
      <c r="M3" s="115"/>
      <c r="N3" s="285" t="s">
        <v>17</v>
      </c>
      <c r="O3" s="286"/>
      <c r="P3" s="287" t="s">
        <v>104</v>
      </c>
      <c r="Q3" s="288"/>
      <c r="R3" s="288"/>
      <c r="S3" s="288"/>
      <c r="T3" s="288"/>
      <c r="U3" s="288"/>
      <c r="V3" s="288"/>
      <c r="W3" s="289"/>
    </row>
    <row r="4" spans="1:23" ht="30" x14ac:dyDescent="0.25">
      <c r="A4" s="293" t="s">
        <v>59</v>
      </c>
      <c r="B4" s="293"/>
      <c r="C4" s="294" t="s">
        <v>0</v>
      </c>
      <c r="D4" s="295"/>
      <c r="E4" s="298" t="s">
        <v>41</v>
      </c>
      <c r="F4" s="299"/>
      <c r="G4" s="300" t="s">
        <v>105</v>
      </c>
      <c r="H4" s="293" t="s">
        <v>43</v>
      </c>
      <c r="I4" s="300" t="s">
        <v>106</v>
      </c>
      <c r="J4" s="298" t="s">
        <v>107</v>
      </c>
      <c r="K4" s="299"/>
      <c r="L4" s="300" t="s">
        <v>108</v>
      </c>
      <c r="M4" s="118" t="s">
        <v>109</v>
      </c>
      <c r="N4" s="300" t="s">
        <v>1</v>
      </c>
      <c r="O4" s="306" t="s">
        <v>2</v>
      </c>
      <c r="P4" s="308" t="s">
        <v>49</v>
      </c>
      <c r="Q4" s="309"/>
      <c r="R4" s="309"/>
      <c r="S4" s="310"/>
      <c r="T4" s="290" t="s">
        <v>67</v>
      </c>
      <c r="U4" s="291"/>
      <c r="V4" s="291"/>
      <c r="W4" s="292"/>
    </row>
    <row r="5" spans="1:23" ht="18.75" x14ac:dyDescent="0.25">
      <c r="A5" s="293"/>
      <c r="B5" s="293"/>
      <c r="C5" s="296"/>
      <c r="D5" s="297"/>
      <c r="E5" s="119" t="s">
        <v>110</v>
      </c>
      <c r="F5" s="119" t="s">
        <v>111</v>
      </c>
      <c r="G5" s="301"/>
      <c r="H5" s="293"/>
      <c r="I5" s="301"/>
      <c r="J5" s="106" t="s">
        <v>112</v>
      </c>
      <c r="K5" s="106" t="s">
        <v>113</v>
      </c>
      <c r="L5" s="301"/>
      <c r="M5" s="120" t="s">
        <v>6</v>
      </c>
      <c r="N5" s="305"/>
      <c r="O5" s="307"/>
      <c r="P5" s="311"/>
      <c r="Q5" s="312"/>
      <c r="R5" s="312"/>
      <c r="S5" s="313"/>
      <c r="T5" s="111" t="s">
        <v>13</v>
      </c>
      <c r="U5" s="111" t="s">
        <v>19</v>
      </c>
      <c r="V5" s="111" t="s">
        <v>140</v>
      </c>
      <c r="W5" s="111" t="s">
        <v>64</v>
      </c>
    </row>
    <row r="6" spans="1:23" ht="114.75" customHeight="1" x14ac:dyDescent="0.25">
      <c r="A6" s="273" t="s">
        <v>148</v>
      </c>
      <c r="B6" s="273"/>
      <c r="C6" s="276" t="s">
        <v>155</v>
      </c>
      <c r="D6" s="276"/>
      <c r="E6" s="28" t="s">
        <v>157</v>
      </c>
      <c r="F6" s="28" t="s">
        <v>130</v>
      </c>
      <c r="G6" s="97">
        <v>3</v>
      </c>
      <c r="H6" s="28" t="s">
        <v>149</v>
      </c>
      <c r="I6" s="97">
        <v>2</v>
      </c>
      <c r="J6" s="28" t="s">
        <v>150</v>
      </c>
      <c r="K6" s="28" t="s">
        <v>151</v>
      </c>
      <c r="L6" s="97">
        <v>2</v>
      </c>
      <c r="M6" s="99">
        <v>12</v>
      </c>
      <c r="N6" s="28" t="s">
        <v>152</v>
      </c>
      <c r="O6" s="28" t="s">
        <v>25</v>
      </c>
      <c r="P6" s="213" t="s">
        <v>164</v>
      </c>
      <c r="Q6" s="214"/>
      <c r="R6" s="214"/>
      <c r="S6" s="215"/>
      <c r="T6" s="79"/>
      <c r="U6" s="79"/>
      <c r="V6" s="100" t="s">
        <v>168</v>
      </c>
      <c r="W6" s="80"/>
    </row>
    <row r="7" spans="1:23" ht="99" customHeight="1" x14ac:dyDescent="0.25">
      <c r="A7" s="273" t="s">
        <v>153</v>
      </c>
      <c r="B7" s="273"/>
      <c r="C7" s="276" t="s">
        <v>156</v>
      </c>
      <c r="D7" s="276"/>
      <c r="E7" s="28" t="s">
        <v>158</v>
      </c>
      <c r="F7" s="28" t="s">
        <v>130</v>
      </c>
      <c r="G7" s="97">
        <v>3</v>
      </c>
      <c r="H7" s="28" t="s">
        <v>154</v>
      </c>
      <c r="I7" s="97">
        <v>2</v>
      </c>
      <c r="J7" s="28" t="s">
        <v>162</v>
      </c>
      <c r="K7" s="28" t="s">
        <v>160</v>
      </c>
      <c r="L7" s="97">
        <v>2</v>
      </c>
      <c r="M7" s="99">
        <v>12</v>
      </c>
      <c r="N7" s="28" t="s">
        <v>165</v>
      </c>
      <c r="O7" s="28" t="s">
        <v>25</v>
      </c>
      <c r="P7" s="213" t="s">
        <v>166</v>
      </c>
      <c r="Q7" s="214"/>
      <c r="R7" s="214"/>
      <c r="S7" s="215"/>
      <c r="T7" s="131" t="s">
        <v>71</v>
      </c>
      <c r="U7" s="79"/>
      <c r="V7" s="132">
        <v>44918</v>
      </c>
      <c r="W7" s="12" t="s">
        <v>73</v>
      </c>
    </row>
    <row r="8" spans="1:23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 spans="1:23" ht="15.75" x14ac:dyDescent="0.25">
      <c r="A9" s="67"/>
      <c r="B9" s="260" t="s">
        <v>16</v>
      </c>
      <c r="C9" s="260" t="s">
        <v>42</v>
      </c>
      <c r="D9" s="260"/>
      <c r="E9" s="260" t="s">
        <v>65</v>
      </c>
      <c r="F9" s="260"/>
      <c r="G9" s="260" t="s">
        <v>17</v>
      </c>
      <c r="H9" s="260"/>
      <c r="I9" s="260"/>
      <c r="J9" s="261" t="s">
        <v>66</v>
      </c>
      <c r="K9" s="262"/>
      <c r="L9" s="263"/>
      <c r="M9" s="157" t="s">
        <v>67</v>
      </c>
      <c r="N9" s="157"/>
      <c r="O9" s="157"/>
      <c r="P9" s="157"/>
      <c r="S9" s="82"/>
      <c r="T9" s="254"/>
      <c r="U9" s="254"/>
      <c r="V9" s="254"/>
      <c r="W9" s="254"/>
    </row>
    <row r="10" spans="1:23" ht="42.75" customHeight="1" x14ac:dyDescent="0.25">
      <c r="A10" s="67"/>
      <c r="B10" s="260"/>
      <c r="C10" s="83" t="s">
        <v>110</v>
      </c>
      <c r="D10" s="83" t="s">
        <v>111</v>
      </c>
      <c r="E10" s="84" t="s">
        <v>13</v>
      </c>
      <c r="F10" s="84" t="s">
        <v>19</v>
      </c>
      <c r="G10" s="255" t="s">
        <v>1</v>
      </c>
      <c r="H10" s="256"/>
      <c r="I10" s="85" t="s">
        <v>114</v>
      </c>
      <c r="J10" s="264"/>
      <c r="K10" s="265"/>
      <c r="L10" s="266"/>
      <c r="M10" s="114" t="s">
        <v>51</v>
      </c>
      <c r="N10" s="114" t="s">
        <v>50</v>
      </c>
      <c r="O10" s="114" t="s">
        <v>63</v>
      </c>
      <c r="P10" s="114" t="s">
        <v>64</v>
      </c>
      <c r="Q10" s="82"/>
      <c r="S10" s="82"/>
      <c r="T10" s="116"/>
      <c r="U10" s="116"/>
      <c r="V10" s="116"/>
      <c r="W10" s="116"/>
    </row>
    <row r="11" spans="1:23" ht="61.5" customHeight="1" x14ac:dyDescent="0.25">
      <c r="A11" s="67"/>
      <c r="B11" s="108"/>
      <c r="C11" s="110"/>
      <c r="D11" s="29"/>
      <c r="E11" s="117"/>
      <c r="F11" s="117"/>
      <c r="G11" s="274"/>
      <c r="H11" s="275"/>
      <c r="I11" s="117"/>
      <c r="J11" s="274"/>
      <c r="K11" s="282"/>
      <c r="L11" s="275"/>
      <c r="M11" s="29"/>
      <c r="N11" s="87"/>
      <c r="O11" s="113"/>
      <c r="P11" s="31"/>
      <c r="Q11" s="88"/>
      <c r="S11" s="88"/>
      <c r="T11" s="89"/>
      <c r="U11" s="89"/>
      <c r="V11" s="89"/>
      <c r="W11" s="89"/>
    </row>
  </sheetData>
  <mergeCells count="35">
    <mergeCell ref="B1:D1"/>
    <mergeCell ref="E1:T1"/>
    <mergeCell ref="U1:W1"/>
    <mergeCell ref="S2:W2"/>
    <mergeCell ref="B3:D3"/>
    <mergeCell ref="N3:O3"/>
    <mergeCell ref="P3:W3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  <mergeCell ref="A6:B6"/>
    <mergeCell ref="C6:D6"/>
    <mergeCell ref="P6:S6"/>
    <mergeCell ref="A7:B7"/>
    <mergeCell ref="C7:D7"/>
    <mergeCell ref="P7:S7"/>
    <mergeCell ref="T9:W9"/>
    <mergeCell ref="G10:H10"/>
    <mergeCell ref="G11:H11"/>
    <mergeCell ref="J11:L11"/>
    <mergeCell ref="B9:B10"/>
    <mergeCell ref="C9:D9"/>
    <mergeCell ref="E9:F9"/>
    <mergeCell ref="G9:I9"/>
    <mergeCell ref="J9:L10"/>
    <mergeCell ref="M9:P9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zoomScaleNormal="100" workbookViewId="0">
      <selection activeCell="C7" sqref="C7:D7"/>
    </sheetView>
  </sheetViews>
  <sheetFormatPr baseColWidth="10" defaultRowHeight="15" x14ac:dyDescent="0.25"/>
  <cols>
    <col min="2" max="2" width="24.7109375" customWidth="1"/>
    <col min="3" max="3" width="16.85546875" customWidth="1"/>
    <col min="5" max="5" width="17" customWidth="1"/>
    <col min="6" max="6" width="13.5703125" customWidth="1"/>
    <col min="8" max="8" width="19" customWidth="1"/>
    <col min="9" max="9" width="14" customWidth="1"/>
    <col min="10" max="10" width="17.140625" customWidth="1"/>
    <col min="11" max="11" width="14" customWidth="1"/>
    <col min="12" max="12" width="13.5703125" customWidth="1"/>
    <col min="13" max="13" width="13.85546875" customWidth="1"/>
    <col min="14" max="14" width="21.28515625" customWidth="1"/>
    <col min="15" max="15" width="14.28515625" customWidth="1"/>
    <col min="19" max="19" width="6.140625" customWidth="1"/>
    <col min="22" max="22" width="19.28515625" customWidth="1"/>
  </cols>
  <sheetData>
    <row r="1" spans="1:23" ht="75.75" customHeight="1" x14ac:dyDescent="0.25">
      <c r="A1" s="67"/>
      <c r="B1" s="281" t="s">
        <v>146</v>
      </c>
      <c r="C1" s="281"/>
      <c r="D1" s="281"/>
      <c r="E1" s="236" t="s">
        <v>170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8"/>
      <c r="U1" s="239" t="s">
        <v>103</v>
      </c>
      <c r="V1" s="240"/>
      <c r="W1" s="241"/>
    </row>
    <row r="2" spans="1:23" ht="24" customHeight="1" x14ac:dyDescent="0.25">
      <c r="A2" s="67"/>
      <c r="B2" s="112" t="s">
        <v>115</v>
      </c>
      <c r="C2" s="112"/>
      <c r="D2" s="112"/>
      <c r="E2" s="68"/>
      <c r="F2" s="68"/>
      <c r="G2" s="68"/>
      <c r="H2" s="68"/>
      <c r="I2" s="68"/>
      <c r="J2" s="68"/>
      <c r="K2" s="68"/>
      <c r="L2" s="68"/>
      <c r="M2" s="68"/>
      <c r="N2" s="69"/>
      <c r="O2" s="70"/>
      <c r="P2" s="71"/>
      <c r="Q2" s="71"/>
      <c r="R2" s="71"/>
      <c r="S2" s="282" t="s">
        <v>169</v>
      </c>
      <c r="T2" s="282"/>
      <c r="U2" s="282"/>
      <c r="V2" s="282"/>
      <c r="W2" s="282"/>
    </row>
    <row r="3" spans="1:23" ht="30.75" customHeight="1" x14ac:dyDescent="0.25">
      <c r="A3" s="67"/>
      <c r="B3" s="283" t="s">
        <v>116</v>
      </c>
      <c r="C3" s="283"/>
      <c r="D3" s="284"/>
      <c r="E3" s="124"/>
      <c r="F3" s="124"/>
      <c r="G3" s="124"/>
      <c r="H3" s="124"/>
      <c r="I3" s="124"/>
      <c r="J3" s="124"/>
      <c r="K3" s="124"/>
      <c r="L3" s="124"/>
      <c r="M3" s="124"/>
      <c r="N3" s="285" t="s">
        <v>17</v>
      </c>
      <c r="O3" s="286"/>
      <c r="P3" s="287" t="s">
        <v>104</v>
      </c>
      <c r="Q3" s="288"/>
      <c r="R3" s="288"/>
      <c r="S3" s="288"/>
      <c r="T3" s="288"/>
      <c r="U3" s="288"/>
      <c r="V3" s="288"/>
      <c r="W3" s="289"/>
    </row>
    <row r="4" spans="1:23" ht="30" x14ac:dyDescent="0.25">
      <c r="A4" s="293" t="s">
        <v>59</v>
      </c>
      <c r="B4" s="293"/>
      <c r="C4" s="294" t="s">
        <v>0</v>
      </c>
      <c r="D4" s="295"/>
      <c r="E4" s="298" t="s">
        <v>41</v>
      </c>
      <c r="F4" s="299"/>
      <c r="G4" s="300" t="s">
        <v>105</v>
      </c>
      <c r="H4" s="293" t="s">
        <v>43</v>
      </c>
      <c r="I4" s="300" t="s">
        <v>106</v>
      </c>
      <c r="J4" s="298" t="s">
        <v>107</v>
      </c>
      <c r="K4" s="299"/>
      <c r="L4" s="300" t="s">
        <v>108</v>
      </c>
      <c r="M4" s="128" t="s">
        <v>109</v>
      </c>
      <c r="N4" s="300" t="s">
        <v>1</v>
      </c>
      <c r="O4" s="306" t="s">
        <v>2</v>
      </c>
      <c r="P4" s="308" t="s">
        <v>49</v>
      </c>
      <c r="Q4" s="309"/>
      <c r="R4" s="309"/>
      <c r="S4" s="310"/>
      <c r="T4" s="290" t="s">
        <v>67</v>
      </c>
      <c r="U4" s="291"/>
      <c r="V4" s="291"/>
      <c r="W4" s="292"/>
    </row>
    <row r="5" spans="1:23" ht="18.75" x14ac:dyDescent="0.25">
      <c r="A5" s="293"/>
      <c r="B5" s="293"/>
      <c r="C5" s="296"/>
      <c r="D5" s="297"/>
      <c r="E5" s="129" t="s">
        <v>110</v>
      </c>
      <c r="F5" s="129" t="s">
        <v>111</v>
      </c>
      <c r="G5" s="301"/>
      <c r="H5" s="293"/>
      <c r="I5" s="301"/>
      <c r="J5" s="106" t="s">
        <v>112</v>
      </c>
      <c r="K5" s="106" t="s">
        <v>113</v>
      </c>
      <c r="L5" s="301"/>
      <c r="M5" s="130" t="s">
        <v>6</v>
      </c>
      <c r="N5" s="305"/>
      <c r="O5" s="307"/>
      <c r="P5" s="311"/>
      <c r="Q5" s="312"/>
      <c r="R5" s="312"/>
      <c r="S5" s="313"/>
      <c r="T5" s="111" t="s">
        <v>13</v>
      </c>
      <c r="U5" s="111" t="s">
        <v>19</v>
      </c>
      <c r="V5" s="111" t="s">
        <v>140</v>
      </c>
      <c r="W5" s="111" t="s">
        <v>64</v>
      </c>
    </row>
    <row r="6" spans="1:23" ht="114.75" customHeight="1" x14ac:dyDescent="0.25">
      <c r="A6" s="273" t="s">
        <v>148</v>
      </c>
      <c r="B6" s="273"/>
      <c r="C6" s="276" t="s">
        <v>155</v>
      </c>
      <c r="D6" s="276"/>
      <c r="E6" s="28" t="s">
        <v>157</v>
      </c>
      <c r="F6" s="28" t="s">
        <v>130</v>
      </c>
      <c r="G6" s="97">
        <v>3</v>
      </c>
      <c r="H6" s="28" t="s">
        <v>149</v>
      </c>
      <c r="I6" s="97">
        <v>2</v>
      </c>
      <c r="J6" s="28" t="s">
        <v>150</v>
      </c>
      <c r="K6" s="28" t="s">
        <v>151</v>
      </c>
      <c r="L6" s="97">
        <v>2</v>
      </c>
      <c r="M6" s="99">
        <v>12</v>
      </c>
      <c r="N6" s="28" t="s">
        <v>152</v>
      </c>
      <c r="O6" s="28" t="s">
        <v>25</v>
      </c>
      <c r="P6" s="213" t="s">
        <v>164</v>
      </c>
      <c r="Q6" s="214"/>
      <c r="R6" s="214"/>
      <c r="S6" s="215"/>
      <c r="T6" s="79"/>
      <c r="U6" s="79"/>
      <c r="V6" s="100"/>
      <c r="W6" s="80"/>
    </row>
    <row r="7" spans="1:23" ht="99" customHeight="1" x14ac:dyDescent="0.25">
      <c r="A7" s="317"/>
      <c r="B7" s="317"/>
      <c r="C7" s="318"/>
      <c r="D7" s="318"/>
      <c r="E7" s="31"/>
      <c r="F7" s="31"/>
      <c r="G7" s="133"/>
      <c r="H7" s="31"/>
      <c r="I7" s="133"/>
      <c r="J7" s="31"/>
      <c r="K7" s="31"/>
      <c r="L7" s="133"/>
      <c r="M7" s="133"/>
      <c r="N7" s="31"/>
      <c r="O7" s="31"/>
      <c r="P7" s="210"/>
      <c r="Q7" s="211"/>
      <c r="R7" s="211"/>
      <c r="S7" s="212"/>
      <c r="T7" s="131"/>
      <c r="U7" s="79"/>
      <c r="V7" s="132"/>
      <c r="W7" s="134"/>
    </row>
    <row r="8" spans="1:23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 spans="1:23" ht="15.75" x14ac:dyDescent="0.25">
      <c r="A9" s="67"/>
      <c r="B9" s="260" t="s">
        <v>16</v>
      </c>
      <c r="C9" s="260" t="s">
        <v>42</v>
      </c>
      <c r="D9" s="260"/>
      <c r="E9" s="260" t="s">
        <v>65</v>
      </c>
      <c r="F9" s="260"/>
      <c r="G9" s="260" t="s">
        <v>17</v>
      </c>
      <c r="H9" s="260"/>
      <c r="I9" s="260"/>
      <c r="J9" s="261" t="s">
        <v>66</v>
      </c>
      <c r="K9" s="262"/>
      <c r="L9" s="263"/>
      <c r="M9" s="157" t="s">
        <v>67</v>
      </c>
      <c r="N9" s="157"/>
      <c r="O9" s="157"/>
      <c r="P9" s="157"/>
      <c r="S9" s="82"/>
      <c r="T9" s="254"/>
      <c r="U9" s="254"/>
      <c r="V9" s="254"/>
      <c r="W9" s="254"/>
    </row>
    <row r="10" spans="1:23" ht="42.75" customHeight="1" x14ac:dyDescent="0.25">
      <c r="A10" s="67"/>
      <c r="B10" s="260"/>
      <c r="C10" s="83" t="s">
        <v>110</v>
      </c>
      <c r="D10" s="83" t="s">
        <v>111</v>
      </c>
      <c r="E10" s="84" t="s">
        <v>13</v>
      </c>
      <c r="F10" s="84" t="s">
        <v>19</v>
      </c>
      <c r="G10" s="255" t="s">
        <v>1</v>
      </c>
      <c r="H10" s="256"/>
      <c r="I10" s="85" t="s">
        <v>114</v>
      </c>
      <c r="J10" s="264"/>
      <c r="K10" s="265"/>
      <c r="L10" s="266"/>
      <c r="M10" s="123" t="s">
        <v>51</v>
      </c>
      <c r="N10" s="123" t="s">
        <v>50</v>
      </c>
      <c r="O10" s="123" t="s">
        <v>63</v>
      </c>
      <c r="P10" s="123" t="s">
        <v>64</v>
      </c>
      <c r="Q10" s="82"/>
      <c r="S10" s="82"/>
      <c r="T10" s="125"/>
      <c r="U10" s="125"/>
      <c r="V10" s="125"/>
      <c r="W10" s="125"/>
    </row>
    <row r="11" spans="1:23" ht="61.5" customHeight="1" x14ac:dyDescent="0.25">
      <c r="A11" s="67"/>
      <c r="B11" s="108"/>
      <c r="C11" s="127"/>
      <c r="D11" s="29"/>
      <c r="E11" s="126"/>
      <c r="F11" s="126"/>
      <c r="G11" s="274"/>
      <c r="H11" s="275"/>
      <c r="I11" s="126"/>
      <c r="J11" s="274"/>
      <c r="K11" s="282"/>
      <c r="L11" s="275"/>
      <c r="M11" s="29"/>
      <c r="N11" s="87"/>
      <c r="O11" s="113"/>
      <c r="P11" s="31"/>
      <c r="Q11" s="88"/>
      <c r="S11" s="88"/>
      <c r="T11" s="89"/>
      <c r="U11" s="89"/>
      <c r="V11" s="89"/>
      <c r="W11" s="89"/>
    </row>
  </sheetData>
  <mergeCells count="35">
    <mergeCell ref="B1:D1"/>
    <mergeCell ref="E1:T1"/>
    <mergeCell ref="U1:W1"/>
    <mergeCell ref="S2:W2"/>
    <mergeCell ref="B3:D3"/>
    <mergeCell ref="N3:O3"/>
    <mergeCell ref="P3:W3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  <mergeCell ref="A6:B6"/>
    <mergeCell ref="C6:D6"/>
    <mergeCell ref="P6:S6"/>
    <mergeCell ref="A7:B7"/>
    <mergeCell ref="C7:D7"/>
    <mergeCell ref="P7:S7"/>
    <mergeCell ref="T9:W9"/>
    <mergeCell ref="G10:H10"/>
    <mergeCell ref="G11:H11"/>
    <mergeCell ref="J11:L11"/>
    <mergeCell ref="B9:B10"/>
    <mergeCell ref="C9:D9"/>
    <mergeCell ref="E9:F9"/>
    <mergeCell ref="G9:I9"/>
    <mergeCell ref="J9:L10"/>
    <mergeCell ref="M9:P9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 d'analyse de Risque 18</vt:lpstr>
      <vt:lpstr>Fiche d'analyse de Risque 19</vt:lpstr>
      <vt:lpstr>Fiche d'analyse de risque 20</vt:lpstr>
      <vt:lpstr>Fiche d'analyse de risque 21</vt:lpstr>
      <vt:lpstr>Fiche d'analyse de risque 22</vt:lpstr>
      <vt:lpstr>Fiche d'analyse de risque 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Sami BERDAOUI</cp:lastModifiedBy>
  <cp:lastPrinted>2021-12-25T07:23:14Z</cp:lastPrinted>
  <dcterms:created xsi:type="dcterms:W3CDTF">2016-03-11T07:17:14Z</dcterms:created>
  <dcterms:modified xsi:type="dcterms:W3CDTF">2023-04-01T12:41:24Z</dcterms:modified>
</cp:coreProperties>
</file>